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kkoaeh\Downloads\"/>
    </mc:Choice>
  </mc:AlternateContent>
  <xr:revisionPtr revIDLastSave="0" documentId="13_ncr:1_{9C384273-48E1-439C-98E2-967BB5C5C0AB}" xr6:coauthVersionLast="47" xr6:coauthVersionMax="47" xr10:uidLastSave="{00000000-0000-0000-0000-000000000000}"/>
  <bookViews>
    <workbookView xWindow="-38520" yWindow="-120" windowWidth="38640" windowHeight="21120" tabRatio="500" activeTab="1" xr2:uid="{00000000-000D-0000-FFFF-FFFF00000000}"/>
  </bookViews>
  <sheets>
    <sheet name="Oversigt" sheetId="1" r:id="rId1"/>
    <sheet name="Alle items" sheetId="2" r:id="rId2"/>
    <sheet name="Ark1" sheetId="5" r:id="rId3"/>
    <sheet name="Våben" sheetId="3" r:id="rId4"/>
    <sheet name="Rustning" sheetId="4" r:id="rId5"/>
  </sheets>
  <definedNames>
    <definedName name="_xlnm._FilterDatabase" localSheetId="1" hidden="1">'Alle items'!$A$1:$S$216</definedName>
    <definedName name="_xlnm._FilterDatabase" localSheetId="4" hidden="1">Rustning!$A$1:$K$15</definedName>
    <definedName name="_xlnm._FilterDatabase" localSheetId="3" hidden="1">Våben!$A$1:$L$44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9" i="1" l="1"/>
  <c r="V10" i="1"/>
  <c r="V11" i="1"/>
  <c r="V12" i="1"/>
  <c r="V13" i="1"/>
  <c r="V9" i="1"/>
  <c r="K12" i="1"/>
  <c r="L12" i="1"/>
  <c r="L32" i="1"/>
  <c r="M12" i="1"/>
  <c r="N12" i="1"/>
  <c r="J32" i="1"/>
  <c r="O12" i="1"/>
  <c r="P12" i="1"/>
  <c r="K32" i="1"/>
  <c r="J12" i="1"/>
  <c r="K8" i="1"/>
  <c r="L8" i="1"/>
  <c r="L28" i="1"/>
  <c r="M8" i="1"/>
  <c r="N8" i="1"/>
  <c r="J28" i="1"/>
  <c r="O8" i="1"/>
  <c r="P8" i="1"/>
  <c r="K28" i="1"/>
  <c r="K9" i="1"/>
  <c r="L9" i="1"/>
  <c r="L29" i="1"/>
  <c r="M9" i="1"/>
  <c r="N9" i="1"/>
  <c r="J29" i="1"/>
  <c r="O9" i="1"/>
  <c r="P9" i="1"/>
  <c r="K29" i="1"/>
  <c r="K10" i="1"/>
  <c r="L10" i="1"/>
  <c r="L30" i="1"/>
  <c r="M10" i="1"/>
  <c r="N10" i="1"/>
  <c r="J30" i="1"/>
  <c r="O10" i="1"/>
  <c r="P10" i="1"/>
  <c r="K30" i="1"/>
  <c r="K11" i="1"/>
  <c r="L11" i="1"/>
  <c r="L31" i="1"/>
  <c r="M11" i="1"/>
  <c r="N11" i="1"/>
  <c r="J31" i="1"/>
  <c r="O11" i="1"/>
  <c r="P11" i="1"/>
  <c r="K31" i="1"/>
  <c r="J9" i="1"/>
  <c r="J10" i="1"/>
  <c r="J11" i="1"/>
  <c r="J8"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 i="2"/>
  <c r="B60" i="1"/>
  <c r="B59" i="1"/>
  <c r="B58" i="1"/>
  <c r="B57" i="1"/>
  <c r="B56" i="1"/>
  <c r="B55" i="1"/>
  <c r="B54" i="1"/>
  <c r="B53" i="1"/>
  <c r="B52" i="1"/>
  <c r="B51" i="1"/>
  <c r="B50" i="1"/>
  <c r="B49" i="1"/>
  <c r="B48" i="1"/>
  <c r="B47" i="1"/>
  <c r="B46" i="1"/>
  <c r="B45" i="1"/>
  <c r="B44" i="1"/>
  <c r="B38" i="1"/>
  <c r="B37" i="1"/>
  <c r="B36" i="1"/>
  <c r="B35" i="1"/>
  <c r="B34" i="1"/>
  <c r="B33" i="1"/>
  <c r="B32" i="1"/>
  <c r="B31" i="1"/>
  <c r="B25" i="1"/>
  <c r="B24" i="1"/>
  <c r="B23" i="1"/>
  <c r="B18" i="1"/>
  <c r="E17" i="1"/>
  <c r="D17" i="1"/>
  <c r="C17" i="1"/>
  <c r="B17" i="1"/>
  <c r="E16" i="1"/>
  <c r="D16" i="1"/>
  <c r="C16" i="1"/>
  <c r="B16" i="1"/>
  <c r="E15" i="1"/>
  <c r="D15" i="1"/>
  <c r="C15" i="1"/>
  <c r="B15" i="1"/>
  <c r="E14" i="1"/>
  <c r="D14" i="1"/>
  <c r="C14" i="1"/>
  <c r="B14" i="1"/>
  <c r="E13" i="1"/>
  <c r="D13" i="1"/>
  <c r="C13" i="1"/>
  <c r="B13" i="1"/>
  <c r="E12" i="1"/>
  <c r="D12" i="1"/>
  <c r="C12" i="1"/>
  <c r="B12" i="1"/>
  <c r="E11" i="1"/>
  <c r="D11" i="1"/>
  <c r="C11" i="1"/>
  <c r="B11" i="1"/>
  <c r="E10" i="1"/>
  <c r="D10" i="1"/>
  <c r="C10" i="1"/>
  <c r="B10" i="1"/>
  <c r="E9" i="1"/>
  <c r="D9" i="1"/>
  <c r="C9" i="1"/>
  <c r="B9" i="1"/>
  <c r="E8" i="1"/>
  <c r="D8" i="1"/>
  <c r="C8" i="1"/>
  <c r="B8" i="1"/>
  <c r="Q8" i="1" l="1"/>
  <c r="Q12" i="1"/>
  <c r="Q11" i="1"/>
  <c r="Q10" i="1"/>
  <c r="Q9" i="1"/>
</calcChain>
</file>

<file path=xl/sharedStrings.xml><?xml version="1.0" encoding="utf-8"?>
<sst xmlns="http://schemas.openxmlformats.org/spreadsheetml/2006/main" count="2521" uniqueCount="699">
  <si>
    <t>D&amp;D 2024 – udstyrsoversigt</t>
  </si>
  <si>
    <t>Data kopieret fra D&amp;D Beyond (Player's Handbook, Dungeon Master's Guide og D&amp;D Beyond Basic Rules). Alle tal på dette ark beregnes med formler ud fra arket 'Alle items'.</t>
  </si>
  <si>
    <t>Pris (GP) omregner 1 SP = 0,1 GP og 1 CP = 0,01 GP. Tomme felter betyder, at kilden ikke angiver en pris/vægt (fx moderne våben).</t>
  </si>
  <si>
    <t>Arkene 'Våben' og 'Rustning' er udsnit af de samme rækker.</t>
  </si>
  <si>
    <t>Antal og pris pr. gruppe</t>
  </si>
  <si>
    <t>Gruppe</t>
  </si>
  <si>
    <t>Antal</t>
  </si>
  <si>
    <t>Billigste (GP)</t>
  </si>
  <si>
    <t>Dyreste (GP)</t>
  </si>
  <si>
    <t>Gns. pris (GP)</t>
  </si>
  <si>
    <t>Ammunition</t>
  </si>
  <si>
    <t>Fokus</t>
  </si>
  <si>
    <t>Gift</t>
  </si>
  <si>
    <t>Køretøj</t>
  </si>
  <si>
    <t>Pakke</t>
  </si>
  <si>
    <t>Ridedyr</t>
  </si>
  <si>
    <t>Rustning</t>
  </si>
  <si>
    <t>Udstyr</t>
  </si>
  <si>
    <t>Våben</t>
  </si>
  <si>
    <t>Værktøj</t>
  </si>
  <si>
    <t>I alt</t>
  </si>
  <si>
    <t>Antal pr. kilde</t>
  </si>
  <si>
    <t>Kilde</t>
  </si>
  <si>
    <t>D&amp;D Beyond Basic Rules</t>
  </si>
  <si>
    <t>Dungeon Master's Guide</t>
  </si>
  <si>
    <t>Player's Handbook</t>
  </si>
  <si>
    <t>Våben pr. mastery-egenskab</t>
  </si>
  <si>
    <t>Mastery</t>
  </si>
  <si>
    <t>Antal våben</t>
  </si>
  <si>
    <t>Cleave</t>
  </si>
  <si>
    <t>Graze</t>
  </si>
  <si>
    <t>Nick</t>
  </si>
  <si>
    <t>Push</t>
  </si>
  <si>
    <t>Sap</t>
  </si>
  <si>
    <t>Slow</t>
  </si>
  <si>
    <t>Topple</t>
  </si>
  <si>
    <t>Vex</t>
  </si>
  <si>
    <t>Antal pr. tag</t>
  </si>
  <si>
    <t>Tag</t>
  </si>
  <si>
    <t>Combat</t>
  </si>
  <si>
    <t>Communication</t>
  </si>
  <si>
    <t>Consumable</t>
  </si>
  <si>
    <t>Container</t>
  </si>
  <si>
    <t>Control</t>
  </si>
  <si>
    <t>Damage</t>
  </si>
  <si>
    <t>Deception</t>
  </si>
  <si>
    <t>Detection</t>
  </si>
  <si>
    <t>Exploration</t>
  </si>
  <si>
    <t>Explosives</t>
  </si>
  <si>
    <t>Healing</t>
  </si>
  <si>
    <t>Instrument</t>
  </si>
  <si>
    <t>Movement</t>
  </si>
  <si>
    <t>Outerwear</t>
  </si>
  <si>
    <t>Social</t>
  </si>
  <si>
    <t>Utility</t>
  </si>
  <si>
    <t>Warding</t>
  </si>
  <si>
    <t>Navn</t>
  </si>
  <si>
    <t>Kategori</t>
  </si>
  <si>
    <t>Pris</t>
  </si>
  <si>
    <t>Pris (GP)</t>
  </si>
  <si>
    <t>Vægt</t>
  </si>
  <si>
    <t>Vægt (lbs)</t>
  </si>
  <si>
    <t>Skade</t>
  </si>
  <si>
    <t>Skadetype</t>
  </si>
  <si>
    <t>Egenskaber</t>
  </si>
  <si>
    <t>AC</t>
  </si>
  <si>
    <t>Styrkekrav</t>
  </si>
  <si>
    <t>Stealth</t>
  </si>
  <si>
    <t>Tags</t>
  </si>
  <si>
    <t>Noter</t>
  </si>
  <si>
    <t>Beskrivelse</t>
  </si>
  <si>
    <t>Bomb</t>
  </si>
  <si>
    <t>Adventuring Gear</t>
  </si>
  <si>
    <t>100 GP</t>
  </si>
  <si>
    <t>1 lb</t>
  </si>
  <si>
    <t>As an action, you can light a Bomb and throw it at a point up to 60 feet away, where it explodes. Each creature in a 5-foot-radius Sphere centered on that point makes a DC 12 Dexterity saving throw, taking 3d6 Fire damage on a failed save or half as much damage on a successful one.</t>
  </si>
  <si>
    <t>Book</t>
  </si>
  <si>
    <t>25 GP</t>
  </si>
  <si>
    <t>5 lbs</t>
  </si>
  <si>
    <t>Social, Utility</t>
  </si>
  <si>
    <t>A Book contains fiction or nonfiction. If you consult an accurate nonfiction Book about its topic, you gain a +5 bonus to Intelligence (Arcana, History, Nature, or Religion) checks you make about that topic.</t>
  </si>
  <si>
    <t>Breastplate</t>
  </si>
  <si>
    <t>Medium Armor</t>
  </si>
  <si>
    <t>400 GP</t>
  </si>
  <si>
    <t>20 lbs</t>
  </si>
  <si>
    <t>14 + Dex modifier (max 2)</t>
  </si>
  <si>
    <t>This armor consists of a fitted metal chest piece worn with supple leather. Although it leaves the legs and arms relatively unprotected, this armor provides good protection for the wearer's vital organs while leaving the wearer relatively unencumbered.</t>
  </si>
  <si>
    <t>Brewer's Supplies</t>
  </si>
  <si>
    <t>Tool</t>
  </si>
  <si>
    <t>20 GP</t>
  </si>
  <si>
    <t>9 lbs</t>
  </si>
  <si>
    <t>Ability: Intelligence Utilize: Detect poisoned drink (DC 15), or identify alcohol (DC 10) Craft: Antitoxin If you have proficiency with a tool, add your Proficiency Bonus to any ability check you make that uses the tool. If you have proficiency in a skill that’s used with that check, you have Advantage on the check too.</t>
  </si>
  <si>
    <t>Bucket</t>
  </si>
  <si>
    <t>5 CP</t>
  </si>
  <si>
    <t>2 lbs</t>
  </si>
  <si>
    <t>A Bucket holds up to half a cubic foot of contents.</t>
  </si>
  <si>
    <t>Bullseye Lantern</t>
  </si>
  <si>
    <t>10 GP</t>
  </si>
  <si>
    <t>Utility, Exploration</t>
  </si>
  <si>
    <t>A Bullseye Lantern burns Oil as fuel to cast Bright Light in a 60-foot Cone and Dim Light for an additional 60 feet.</t>
  </si>
  <si>
    <t>Burglar's Pack</t>
  </si>
  <si>
    <t>Equipment Pack</t>
  </si>
  <si>
    <t>16 GP</t>
  </si>
  <si>
    <t>47 1/2 lbs</t>
  </si>
  <si>
    <t>Utility, Exploration, Container</t>
  </si>
  <si>
    <t>A Burglar’s Pack contains the following items: Backpack, Ball Bearings, Bell, 10 Candles, Crowbar, Hooded Lantern, 7 flasks of Oil, 5 days of Rations, Rope, Tinderbox, and Waterskin.</t>
  </si>
  <si>
    <t>Burnt Othur Fumes</t>
  </si>
  <si>
    <t>Poison</t>
  </si>
  <si>
    <t>500 GP</t>
  </si>
  <si>
    <t>Inhaled Poison</t>
  </si>
  <si>
    <t>A creature subjected to Burnt Othur Fumes must succeed on a DC 13 Constitution saving throw or take 10 (3d6) Poison damage, and it must repeat the save at the start of each of its turns. On each successive failed save, the creature takes 3 (1d6) Poison damage. After three successful saves, the poison ends.</t>
  </si>
  <si>
    <t>Calligrapher's Supplies</t>
  </si>
  <si>
    <t>Ability: Dexterity Utilize: Write text with impressive flourishes that guard against forgery (DC 15) Craft: Ink, Spell Scroll If you have proficiency with a tool, add your Proficiency Bonus to any ability check you make that uses the tool. If you have proficiency in a skill that’s used with that check, you have Advantage on the check too.</t>
  </si>
  <si>
    <t>Caltrops</t>
  </si>
  <si>
    <t>1 GP</t>
  </si>
  <si>
    <t>Damage, Movement, Combat</t>
  </si>
  <si>
    <t>As a Utilize action, you can spread Caltrops from their bag to cover a 5-foot-square area within 5 feet of yourself. A creature that enters this area for the first time on a turn must succeed on a DC 15 Dexterity saving throw or take 1 Piercing damage and have its Speed reduced to 0 until the start of its next turn. It takes 10 minutes to recover the Caltrops.</t>
  </si>
  <si>
    <t>Camel</t>
  </si>
  <si>
    <t>Mount</t>
  </si>
  <si>
    <t>50 GP</t>
  </si>
  <si>
    <t>Movement, Utility, Exploration</t>
  </si>
  <si>
    <t>Camel Stat Block Speed 50 ft. Carrying Capacity 450 lb. A good mount can help you move more quickly through the wilderness, but its primary purpose is to carry the gear that would otherwise slow you down.</t>
  </si>
  <si>
    <t>Candle</t>
  </si>
  <si>
    <t>1 CP</t>
  </si>
  <si>
    <t>Utility, Exploration, Consumable</t>
  </si>
  <si>
    <t>For 1 hour, a lit Candle sheds Bright Light in a 5-foot radius and Dim Light for an additional 5 feet.</t>
  </si>
  <si>
    <t>Carpenter's Tools</t>
  </si>
  <si>
    <t>8 GP</t>
  </si>
  <si>
    <t>6 lbs</t>
  </si>
  <si>
    <t>Ability: Strength Utilize: Seal or pry open a door or container (DC 20) Craft: Club, Greatclub, Quarterstaff, Barrel, Chest, Ladder, Pole, Portable Ram, Torch If you have proficiency with a tool, add your Proficiency Bonus to any ability check you make that uses the tool. If you have proficiency in a skill that’s used with that check, you have Advantage on the check too.</t>
  </si>
  <si>
    <t>Carriage</t>
  </si>
  <si>
    <t>Vehicle (Land)</t>
  </si>
  <si>
    <t>600 lbs</t>
  </si>
  <si>
    <t>An animal pulling a carriage, cart, chariot, sled, or wagon can move weight up to five times its base carrying capacity, including the weight of the vehicle. If multiple animals pull the same vehicle, add their carrying capacities together.</t>
  </si>
  <si>
    <t>Carrion Crawler Mucus</t>
  </si>
  <si>
    <t>200 GP</t>
  </si>
  <si>
    <t>Contact Poison</t>
  </si>
  <si>
    <t>A creature subjected to Carrion Crawler Mucus must succeed on a DC 13 Constitution saving throw or have the Poisoned condition for 1 minute. The creature also has the Paralyzed condition while Poisoned in this way. The creature repeats the save at the end of each of its turns, ending the effect on itself on a success.</t>
  </si>
  <si>
    <t>Cart</t>
  </si>
  <si>
    <t>15 GP</t>
  </si>
  <si>
    <t>200 lbs</t>
  </si>
  <si>
    <t>Cartographer's Tools</t>
  </si>
  <si>
    <t>Ability: Wisdom Utilize: Draft a map of a small area (DC 15) Craft: Map If you have proficiency with a tool, add your Proficiency Bonus to any ability check you make that uses the tool. If you have proficiency in a skill that’s used with that check, you have Advantage on the check too.</t>
  </si>
  <si>
    <t>Chain</t>
  </si>
  <si>
    <t>5 GP</t>
  </si>
  <si>
    <t>10 lbs</t>
  </si>
  <si>
    <t>As a Utilize action, you can wrap a Chain around an unwilling creature within 5 feet of yourself that has the Grappled, Incapacitated, or Restrained condition if you succeed on a DC 13 Strength (Athletics) check. If the creature’s legs are bound, the creature has the Restrained condition until it escapes. Escaping the Chain requires the creature to make a successful DC 18 Dexterity (Acrobatics) check as an action. Bursting the Chain requires a successful DC 20 Strength (Athletics) check as an action.</t>
  </si>
  <si>
    <t>Chain Mail</t>
  </si>
  <si>
    <t>Heavy Armor</t>
  </si>
  <si>
    <t>75 GP</t>
  </si>
  <si>
    <t>55 lbs</t>
  </si>
  <si>
    <t>16</t>
  </si>
  <si>
    <t>13</t>
  </si>
  <si>
    <t>Disadvantage</t>
  </si>
  <si>
    <t>Made of interlocking metal rings, chain mail includes a layer of quilted fabric worn underneath the mail to prevent chafing and to cushion the impact of blows. The suit includes gauntlets.</t>
  </si>
  <si>
    <t>Chain Shirt</t>
  </si>
  <si>
    <t>13 + Dex modifier (max 2)</t>
  </si>
  <si>
    <t>Made of interlocking metal rings, a chain shirt is worn between layers of clothing or leather. This armor offers modest protection to the wearer's upper body and allows the sound of the rings rubbing against one another to be muffled by outer layers.</t>
  </si>
  <si>
    <t>Chariot</t>
  </si>
  <si>
    <t>250 GP</t>
  </si>
  <si>
    <t>100 lbs</t>
  </si>
  <si>
    <t>Chest</t>
  </si>
  <si>
    <t>25 lbs</t>
  </si>
  <si>
    <t>A Chest holds up to 12 cubic feet of contents.</t>
  </si>
  <si>
    <t>Climber's Kit</t>
  </si>
  <si>
    <t>12 lbs</t>
  </si>
  <si>
    <t>A Climber’s Kit includes boot tips, gloves, pitons, and a harness. As a Utilize action, you can use the Climber’s Kit to anchor yourself; when you do, you can’t fall more than 25 feet from the anchor point, and you can’t move more than 25 feet from there without undoing the anchor as a Bonus Action.</t>
  </si>
  <si>
    <t>Club</t>
  </si>
  <si>
    <t>Simple Melee Weapon</t>
  </si>
  <si>
    <t>1 SP</t>
  </si>
  <si>
    <t>1d4</t>
  </si>
  <si>
    <t>Bludgeoning</t>
  </si>
  <si>
    <t>Light, Slow</t>
  </si>
  <si>
    <t>Damage, Combat</t>
  </si>
  <si>
    <t>Proficiency with a Club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</si>
  <si>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Cobbler's Tools</t>
  </si>
  <si>
    <t>Ability: Dexterity Utilize: Modify footwear to give Advantage on the wearer’s next Dexterity (Acrobatics) check (DC 10) Craft: Climber’s Kit If you have proficiency with a tool, add your Proficiency Bonus to any ability check you make that uses the tool. If you have proficiency in a skill that’s used with that check, you have Advantage on the check too.</t>
  </si>
  <si>
    <t>Component Pouch</t>
  </si>
  <si>
    <t>Utility, Container</t>
  </si>
  <si>
    <t>A Component Pouch is watertight and filled with compartments that hold all the free Material components of your spells.</t>
  </si>
  <si>
    <t>Cook's Utensils</t>
  </si>
  <si>
    <t>8 lbs</t>
  </si>
  <si>
    <t>Ability: Wisdom Utilize: Improve food’s flavor (DC 10), or detect spoiled or poisoned food (DC 15) Craft: Rations If you have proficiency with a tool, add your Proficiency Bonus to any ability check you make that uses the tool. If you have proficiency in a skill that’s used with that check, you have Advantage on the check too.</t>
  </si>
  <si>
    <t>Costume</t>
  </si>
  <si>
    <t>4 lbs</t>
  </si>
  <si>
    <t>Social, Deception, Outerwear</t>
  </si>
  <si>
    <t>While wearing a Costume, you have Advantage on any ability check you make to impersonate the person or type of person it represents.</t>
  </si>
  <si>
    <t>Crossbow Bolt Case</t>
  </si>
  <si>
    <t>A Crossbow Bolt Case holds up to 20 Bolts.</t>
  </si>
  <si>
    <t>Crossbow, Hand</t>
  </si>
  <si>
    <t>Martial Ranged Weapon</t>
  </si>
  <si>
    <t>3 lbs</t>
  </si>
  <si>
    <t>1d6</t>
  </si>
  <si>
    <t>Piercing</t>
  </si>
  <si>
    <t>Ammunition, Light, Loading, (Range 30/120), Vex</t>
  </si>
  <si>
    <t>Proficiency with a Hand Crossbow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</si>
  <si>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Crossbow, Heavy</t>
  </si>
  <si>
    <t>18 lbs</t>
  </si>
  <si>
    <t>1d10</t>
  </si>
  <si>
    <t>Ammunition, Heavy, Loading, (Range 100/400), Two-Handed, Push</t>
  </si>
  <si>
    <t>Proficiency with a Heavy Crossbow allows you to add your proficiency bonus to the attack roll for any attack you make with it. This weapon has the following mastery property. To use this property, you must have a feature that lets you use it. Push. If you hit a creature with this weapon, you can push the creature up to 10 feet straight away from yourself if it is Large or smaller.</t>
  </si>
  <si>
    <t>Crossbow, Light</t>
  </si>
  <si>
    <t>Simple Ranged Weapon</t>
  </si>
  <si>
    <t>1d8</t>
  </si>
  <si>
    <t>Ammunition, Loading, (Range 80/320), Two-Handed, Slow</t>
  </si>
  <si>
    <t>Proficiency with a Light Crossbow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</si>
  <si>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Crowbar</t>
  </si>
  <si>
    <t>2 GP</t>
  </si>
  <si>
    <t>Using a Crowbar gives you Advantage on Strength checks where the Crowbar’s leverage can be applied.</t>
  </si>
  <si>
    <t>Crystal</t>
  </si>
  <si>
    <t>Arcane Focus</t>
  </si>
  <si>
    <t>An Arcane Focus is bejeweled or carved to channel arcane magic. A Sorcerer, Warlock, or Wizard can use such an item as a Spellcasting Focus.</t>
  </si>
  <si>
    <t>Dagger</t>
  </si>
  <si>
    <t>Finesse, Light, Thrown (range 20/60), Nick</t>
  </si>
  <si>
    <t>Proficiency with a Dagger allows you to add your proficiency bonus to the attack roll for any attack you make with it. This weapon has the following mastery property. To use this property, you must have a feature that lets you use it. Nick. When you make the extra attack of the Light property, you can make it as part of the Attack action instead of as a Bonus Action. You can make this extra attack only once per turn.</t>
  </si>
  <si>
    <t>Dart</t>
  </si>
  <si>
    <t>1/4 lb</t>
  </si>
  <si>
    <t>Finesse, Thrown (range 20/60), Vex</t>
  </si>
  <si>
    <t>Proficiency with a Dart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</si>
  <si>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Dice</t>
  </si>
  <si>
    <t>Ability: Wisdom Utilize: Discern whether someone is cheating (DC 10), or win the game (DC 20)</t>
  </si>
  <si>
    <t>Diplomat's Pack</t>
  </si>
  <si>
    <t>39 GP</t>
  </si>
  <si>
    <t>39 lbs</t>
  </si>
  <si>
    <t>Social, Utility, Exploration, Container, Outerwear</t>
  </si>
  <si>
    <t>A Diplomat’s Pack contains the following items: Chest, Fine Clothes, Ink, 5 Ink Pens, Lamp, 2 Map or Scroll Cases, 4 flasks of Oil, 5 sheets of Paper, 5 sheets of Parchment, Perfume, and Tinderbox.</t>
  </si>
  <si>
    <t>Disguise Kit</t>
  </si>
  <si>
    <t>Utility, Deception</t>
  </si>
  <si>
    <t>Ability: Charisma Utilize: Apply makeup (DC 10) Craft: Costume If you have proficiency with a tool, add your Proficiency Bonus to any ability check you make that uses the tool. If you have proficiency in a skill that’s used with that check, you have Advantage on the check too.</t>
  </si>
  <si>
    <t>Draft Horse</t>
  </si>
  <si>
    <t>Draft Horse Stat Block Speed 40 ft. Carrying Capacity 540 lb. A good mount can help you move more quickly through the wilderness, but its primary purpose is to carry the gear that would otherwise slow you down.</t>
  </si>
  <si>
    <t>Dragonchess</t>
  </si>
  <si>
    <t>Druidic Focus</t>
  </si>
  <si>
    <t>A Druidic Focus takes one of the forms in the Druidic Focuses table and is carved, tied with ribbon, or painted to channel primal magic. A Druid or Ranger can use such an object as a Spellcasting Focus. Druidic Focuses Focus	Weight	Cost Sprig of mistletoe	—	1 GP Wooden staff (also a Quarterstaff)	4 lb.	5 GP Yew wand	1 lb.	10 GP</t>
  </si>
  <si>
    <t>Drum</t>
  </si>
  <si>
    <t>6 GP</t>
  </si>
  <si>
    <t>Ability: Charisma Utilize: Play a known tune (DC 10), or improvise a song (DC 15)</t>
  </si>
  <si>
    <t>Dulcimer</t>
  </si>
  <si>
    <t>Dungeoneer's Pack</t>
  </si>
  <si>
    <t>12 GP</t>
  </si>
  <si>
    <t>A Dungeoneer’s Pack contains the following items: Backpack, Caltrops, Crowbar, 2 flasks of Oil, 10 days of Rations, Rope, Tinderbox, 10 Torches, and Waterskin.</t>
  </si>
  <si>
    <t>Dynamite Stick</t>
  </si>
  <si>
    <t>An an action, you can light a Dynamite Stick and throw it at a point up to 60 feet away, where it explodes. Each creature in a 5-foot-radius Sphere centered on that point makes a DC 12 Dexterity saving throw, taking 3d6 Force damage on a failed save or half as much damage on a successful one. It takes 1 minute to bind two or more Dynamite Sticks together so they explode at the same time. Each stick after the first increases the damage by 1d6 (to a maximum of 10d6) and the effect’s radius by 5 feet (to a maximum of 20 feet). It takes 1 minute to rig dynamite with a longer fuse so it explodes after a longer period of time, such as 1 minute or 10 minutes.</t>
  </si>
  <si>
    <t>Elephant</t>
  </si>
  <si>
    <t>Elephant Stat Block Speed 40 ft. Carrying Capacity 1,320 lb. A good mount can help you move more quickly through the wilderness, but its primary purpose is to carry the gear that would otherwise slow you down.</t>
  </si>
  <si>
    <t>Emblem</t>
  </si>
  <si>
    <t>Holy Symbol</t>
  </si>
  <si>
    <t>An Emblem is a Holy Symbol that is bejeweled or painted to channel divine magic. A Cleric or Paladin can use this item as a Spellcasting Focus. Emblems must be borne on fabric or a Shield.</t>
  </si>
  <si>
    <t>Energy Cell</t>
  </si>
  <si>
    <t>1/2 lb</t>
  </si>
  <si>
    <t>Futuristic firearms use Energy Cells that become depleted but could possibly be recharged with the proper equipment.</t>
  </si>
  <si>
    <t>Entertainer's Pack</t>
  </si>
  <si>
    <t>40 GP</t>
  </si>
  <si>
    <t>58 1/2 lbs</t>
  </si>
  <si>
    <t>Social, Utility, Exploration, Deception, Container, Outerwear</t>
  </si>
  <si>
    <t>An Entertainer’s Pack contains the following items: Backpack, Bedroll, Bell, Bullseye Lantern, 3 Costumes, Mirror, 8 flasks of Oil, 9 days of Rations, Tinderbox, and Waterskin.</t>
  </si>
  <si>
    <t>Essence of Ether</t>
  </si>
  <si>
    <t>300 GP</t>
  </si>
  <si>
    <t>A creature subjected to Essence of Ether must succeed on a DC 15 Constitution saving throw or have the Poisoned condition for 8 hours. The creature also has the Unconscious condition while Poisoned in this way. The creature wakes up if it takes damage or if another creature takes an action to shake it awake.</t>
  </si>
  <si>
    <t>Exotic Saddle</t>
  </si>
  <si>
    <t>60 GP</t>
  </si>
  <si>
    <t>40 lbs</t>
  </si>
  <si>
    <t>An Exotic Saddle is required for riding an aquatic or a flying mount.</t>
  </si>
  <si>
    <t>Explorer's Pack</t>
  </si>
  <si>
    <t>An Explorer’s Pack contains the following items: Backpack, Bedroll, 2 flasks of Oil, 10 days of Rations, Rope, Tinderbox, 10 Torches, and Waterskin.</t>
  </si>
  <si>
    <t>Feed per day</t>
  </si>
  <si>
    <t>Utility, Consumable</t>
  </si>
  <si>
    <t>Standard feed typically consumed by a mount per day.</t>
  </si>
  <si>
    <t>Fine Clothes</t>
  </si>
  <si>
    <t>Social, Outerwear</t>
  </si>
  <si>
    <t>Fine Clothes are made of expensive fabrics and adorned with expertly crafted details. Some events and locations admit only people wearing these clothes.</t>
  </si>
  <si>
    <t>Firearm Bullets</t>
  </si>
  <si>
    <t>3 GP</t>
  </si>
  <si>
    <t>Firearm Bullets are destroyed upon use in a modern firearm.</t>
  </si>
  <si>
    <t>Flail</t>
  </si>
  <si>
    <t>Martial Melee Weapon</t>
  </si>
  <si>
    <t>Proficiency with a Flail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</si>
  <si>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Flask</t>
  </si>
  <si>
    <t>2 CP</t>
  </si>
  <si>
    <t>A Flask holds up to 1 pint.</t>
  </si>
  <si>
    <t>Flute</t>
  </si>
  <si>
    <t>Forgery Kit</t>
  </si>
  <si>
    <t>Ability: Dexterity Utilize: Mimic 10 or fewer words of someone else’s handwriting (DC 15), or duplicate a wax seal (DC 20) If you have proficiency with a tool, add your Proficiency Bonus to any ability check you make that uses the tool. If you have proficiency in a skill that’s used with that check, you have Advantage on the check too.</t>
  </si>
  <si>
    <t>Fragmentation Grenade</t>
  </si>
  <si>
    <t>As an action, you can either throw a grenade at a point up to 60 feet away or use a Grenade Launcher to propel the grenade to a point up to 1,000 feet away. The grenade explodes at that point, creating a particular effect in a 20-foot-radius Sphere. Each creature in the Sphere makes a DC 15 Dexterity saving throw, taking 17 (5d6) Piercing damage on a failed save or half as much damage on a successful one.</t>
  </si>
  <si>
    <t>Galley</t>
  </si>
  <si>
    <t>Vehicle (Water)</t>
  </si>
  <si>
    <t>30,000 GP</t>
  </si>
  <si>
    <t>Galleys have the following statistics: AC 15 HP 500 Speed 4 mph Damage Threshold 20 Crew 80 Passengers — Cargo (Tons) 150</t>
  </si>
  <si>
    <t>Glaive</t>
  </si>
  <si>
    <t>Slashing</t>
  </si>
  <si>
    <t>Heavy, Reach, Two-Handed, Graze</t>
  </si>
  <si>
    <t>Damage, Control, Combat</t>
  </si>
  <si>
    <t>Proficiency with a Glaive allows you to add your proficiency bonus to the attack roll for any attack you make with it. This weapon has the following mastery property. To use this property, you must have a feature that lets you use it.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t>
  </si>
  <si>
    <t>Glass Bottle</t>
  </si>
  <si>
    <t>A Glass Bottle holds up to 1½ pints.</t>
  </si>
  <si>
    <t>Glassblower's Tools</t>
  </si>
  <si>
    <t>30 GP</t>
  </si>
  <si>
    <t>Ability: Intelligence Utilize: Discern what a glass object held in the past 24 hours (DC 15) Craft: Glass Bottle, Magnifying Glass, Spyglass, Vial If you have proficiency with a tool, add your Proficiency Bonus to any ability check you make that uses the tool. If you have proficiency in a skill that’s used with that check, you have Advantage on the check too.</t>
  </si>
  <si>
    <t>Grappling Hook</t>
  </si>
  <si>
    <t>As a Utilize action, you can throw the Grappling Hook at a railing, a ledge, or another catch within 50 feet of yourself, and the hook catches on if you succeed on a DC 13 Dexterity (Acrobatics) check. If you tied a Rope to the hook, you can then climb it.</t>
  </si>
  <si>
    <t>Greataxe</t>
  </si>
  <si>
    <t>7 lbs</t>
  </si>
  <si>
    <t>1d12</t>
  </si>
  <si>
    <t>Heavy, Two-Handed, Cleave</t>
  </si>
  <si>
    <t>Proficiency with a Greataxe allows you to add your proficiency bonus to the attack roll for any attack you make with it. This weapon has the following mastery property. To use this property, you must have a feature that lets you use it.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t>
  </si>
  <si>
    <t>Greatclub</t>
  </si>
  <si>
    <t>2 SP</t>
  </si>
  <si>
    <t>Two-Handed, Push</t>
  </si>
  <si>
    <t>Proficiency with a Greatclub allows you to add your proficiency bonus to the attack roll for any attack you make with it. This weapon has the following mastery property. To use this property, you must have a feature that lets you use it. Push. If you hit a creature with this weapon, you can push the creature up to 10 feet straight away from yourself if it is Large or smaller.</t>
  </si>
  <si>
    <t>Greatsword</t>
  </si>
  <si>
    <t>2d6</t>
  </si>
  <si>
    <t>Heavy, Two-Handed, Graze</t>
  </si>
  <si>
    <t>Proficiency with a Greatsword allows you to add your proficiency bonus to the attack roll for any attack you make with it. This weapon has the following mastery property. To use this property, you must have a feature that lets you use it.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t>
  </si>
  <si>
    <t>Grenade Launcher</t>
  </si>
  <si>
    <t>As an action, you can either throw a grenade at a point up to 60 feet away or use a Grenade Launcher to propel the grenade to a point up to 1,000 feet away. The grenade explodes at that point, creating a particular effect in a 20-foot-radius Sphere.</t>
  </si>
  <si>
    <t>Gunpowder (keg)</t>
  </si>
  <si>
    <t>Setting fire to a keg full of Gunpowder causes it to explode. When a keg explodes, each creature in a 10-foot-radius Sphere centered on the keg makes a DC 12 Dexterity saving throw, taking 24 (7d6) Fire damage on a failed save or half as much damage on a successful one.</t>
  </si>
  <si>
    <t>Gunpowder (powder horn)</t>
  </si>
  <si>
    <t>35 GP</t>
  </si>
  <si>
    <t>Setting fire to a powder horn full of Gunpowder causes it to explode. When a powder horn explodes, each creature in a 10-foot-radius Sphere centered on the powder horn makes a DC 12 Dexterity saving throw, taking 10 (3d6) Fire damage on a failed save or half as much damage on a successful one.</t>
  </si>
  <si>
    <t>Halberd</t>
  </si>
  <si>
    <t>Heavy, Reach, Two-Handed, Cleave</t>
  </si>
  <si>
    <t>Proficiency with a Halberd allows you to add your proficiency bonus to the attack roll for any attack you make with it. This weapon has the following mastery property. To use this property, you must have a feature that lets you use it.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t>
  </si>
  <si>
    <t>Half Plate</t>
  </si>
  <si>
    <t>750 GP</t>
  </si>
  <si>
    <t>15 + Dex modifier (max 2)</t>
  </si>
  <si>
    <t>Half plate consists of shaped metal plates that cover most of the wearer's body. It does not include leg protection beyond simple greaves that are attached with leather straps.</t>
  </si>
  <si>
    <t>Handaxe</t>
  </si>
  <si>
    <t>Light, Thrown (range 20/60), Vex</t>
  </si>
  <si>
    <t>Proficiency with a Handaxe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</si>
  <si>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Healer's Kit</t>
  </si>
  <si>
    <t>Healing, Combat</t>
  </si>
  <si>
    <t>A Healer’s Kit has ten uses. As a Utilize action, you can expend one of its uses to stabilize an Unconscious creature that has 0 Hit Points without needing to make a Wisdom (Medicine) check.</t>
  </si>
  <si>
    <t>Herbalism Kit</t>
  </si>
  <si>
    <t>Healing, Utility</t>
  </si>
  <si>
    <t>Ability: Intelligence Utilize: Identify a plant (DC 10) Craft: Antitoxin, Candle, Healer’s Kit, Potion of Healing A character who has proficiency with the Herbalism Kit can create a Potion of Healing. Doing so requires using this kit and 25 GP of raw material over the course of 1 day (8 hours of work). If you have proficiency with a tool, add your Proficiency Bonus to any ability check you make that uses the tool. If you have proficiency in a skill that’s used with that check, you have Advantage on the check too.</t>
  </si>
  <si>
    <t>Hide</t>
  </si>
  <si>
    <t>12 + Dex modifier (max 2)</t>
  </si>
  <si>
    <t>This crude armor consists of thick furs and pelts.</t>
  </si>
  <si>
    <t>A Holy Symbol takes one of the forms in the Holy Symbol table and is bejeweled or painted to channel divine magic. A Cleric or Paladin can use a Holy Symbol as a Spellcasting Focus. The table indicates whether a Holy Symbol needs to be held, worn, or borne on fabric (such as a tabard or banner) or a Shield. Holy Symbols Symbol	Weight	Cost Amulet (worn or held)	1 lb.	5 GP Emblem (borne on fabric or a Shield)	—	5 GP Reliquary (held)	2 lb.	5 GP</t>
  </si>
  <si>
    <t>Holy Water</t>
  </si>
  <si>
    <t>Damage, Utility, Combat</t>
  </si>
  <si>
    <t>When you take the Attack action, you can replace one of your attacks with throwing a flask of Holy Water. Target one creature you can see within 20 feet of yourself. The target must succeed on a Dexterity saving throw (DC 8 plus your Dexterity modifier and Proficiency Bonus) or take 2d8 Radiant damage if it is a Fiend or an Undead.</t>
  </si>
  <si>
    <t>Hooded Lantern</t>
  </si>
  <si>
    <t>A Hooded Lantern burns Oil as fuel to cast Bright Light in a 30-foot radius and Dim Light for an additional 30 feet. As a Bonus Action, you can lower the hood, reducing the light to Dim Light in a 5-foot radius, or raise it again.</t>
  </si>
  <si>
    <t>Horn</t>
  </si>
  <si>
    <t>Hunting Trap</t>
  </si>
  <si>
    <t>Damage, Utility</t>
  </si>
  <si>
    <t>As a Utilize action, you can set a Hunting Trap, which is a sawtooth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1d4 Piercing damage and have its Speed reduced to 0 until the start of its next turn. Thereafter, until the creature breaks free of the trap, its movement is limited by the length of the chain (typically 3 feet). A creature can use its action to make a DC 13 Strength (Athletics) check, freeing itself or another creature within its reach on a success. Each failed check deals 1 Piercing damage to the trapped creature.</t>
  </si>
  <si>
    <t>Ink</t>
  </si>
  <si>
    <t>Communication, Social, Utility, Consumable</t>
  </si>
  <si>
    <t>Ink comes in a 1-ounce bottle, which provides enough ink to write about 500 pages.</t>
  </si>
  <si>
    <t>Ink Pen</t>
  </si>
  <si>
    <t>Communication, Social, Utility</t>
  </si>
  <si>
    <t>Using Ink, an Ink Pen is used to write or draw.</t>
  </si>
  <si>
    <t>Iron Pot</t>
  </si>
  <si>
    <t>An Iron Pot holds up to 1 gallon.</t>
  </si>
  <si>
    <t>Iron Spikes</t>
  </si>
  <si>
    <t>Iron Spikes come in bundles of ten. As a Utilize action, you can use a blunt object, such as a Light Hammer, to hammer a spike into wood, earth, or a similar material. You can do so to jam a door shut or to then tie a Rope or Chain to the Spike.</t>
  </si>
  <si>
    <t>Javelin</t>
  </si>
  <si>
    <t>5 SP</t>
  </si>
  <si>
    <t>Thrown (range 30/120), Slow</t>
  </si>
  <si>
    <t>Proficiency with a Javelin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</si>
  <si>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Jeweler's Tools</t>
  </si>
  <si>
    <t>Ability: Intelligence Utilize: Discern a gem’s value (DC 15) Craft: Arcane Focus, Holy Symbol If you have proficiency with a tool, add your Proficiency Bonus to any ability check you make that uses the tool. If you have proficiency in a skill that’s used with that check, you have Advantage on the check too.</t>
  </si>
  <si>
    <t>Jug</t>
  </si>
  <si>
    <t>A Jug holds up to 1 gallon.</t>
  </si>
  <si>
    <t>Keelboat</t>
  </si>
  <si>
    <t>3,000 GP</t>
  </si>
  <si>
    <t>Keelboats have the following statistics: AC 15 HP 100 Speed 1 mph Damage Threshold 10 Crew 1 Passengers 6 Cargo (Tons) 1/2</t>
  </si>
  <si>
    <t>Ladder</t>
  </si>
  <si>
    <t>A Ladder is 10 feet tall. You must climb to move up or down it.</t>
  </si>
  <si>
    <t>Lamp</t>
  </si>
  <si>
    <t>A Lamp burns Oil as fuel to cast Bright Light in a 15-foot radius and Dim Light for an additional 30 feet.</t>
  </si>
  <si>
    <t>Lance</t>
  </si>
  <si>
    <t>Reach, Topple, Heavy, Two-Handed</t>
  </si>
  <si>
    <t>Proficiency with a Lance allows you to add your proficiency bonus to the attack roll for any attack you make with it. A Lance requires two hands to wield when you aren't mounted. This weapon has the following mastery property. To use this property, you must have a feature that lets you use it. Topple. If you hit a creature with this weapon, you can force the creature to make a Constitution saving throw (DC 8 plus the ability modifier used to make the attack roll and your Proficiency Bonus). On a failed save, the creature has the Prone condition.</t>
  </si>
  <si>
    <t>Laser Pistol</t>
  </si>
  <si>
    <t>Firearms Ranged Weapon</t>
  </si>
  <si>
    <t>3d6</t>
  </si>
  <si>
    <t>Radiant</t>
  </si>
  <si>
    <t>Ammunition (Firearms), (Range 40/120), Reload, Vex</t>
  </si>
  <si>
    <t>Reload (50 shots)</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</si>
  <si>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 Notes: Reload (50 shots)</t>
  </si>
  <si>
    <t>Laser Rifle</t>
  </si>
  <si>
    <t>3d8</t>
  </si>
  <si>
    <t>Ammunition (Firearms), (Range 100/300), Reload, Two-Handed, Slow</t>
  </si>
  <si>
    <t>Reload (30 shots)</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</si>
  <si>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 Notes: Reload (30 shots)</t>
  </si>
  <si>
    <t>Leather</t>
  </si>
  <si>
    <t>Light Armor</t>
  </si>
  <si>
    <t>11 + Dex modifier</t>
  </si>
  <si>
    <t>The breastplate and shoulder protectors of this armor are made of leather that has been stiffened by being boiled in oil. The rest of the armor is made of softer and more flexible materials.</t>
  </si>
  <si>
    <t>Leatherworker's Tools</t>
  </si>
  <si>
    <t>Ability: Dexterity Utilize: Add a design to a leather item (DC 10) Craft: Sling, Whip, Hide Armor, Leather Armor, Studded Leather Armor, Backpack, Crossbow Bolt Case, Map or Scroll Case, Parchment, Pouch, Quiver, Waterskin If you have proficiency with a tool, add your Proficiency Bonus to any ability check you make that uses the tool. If you have proficiency in a skill that’s used with that check, you have Advantage on the check too.</t>
  </si>
  <si>
    <t>Light Hammer</t>
  </si>
  <si>
    <t>Light, Thrown (range 20/60), Nick</t>
  </si>
  <si>
    <t>Proficiency with a Light Hammer allows you to add your proficiency bonus to the attack roll for any attack you make with it. This weapon has the following mastery property. To use this property, you must have a feature that lets you use it. Nick. When you make the extra attack of the Light property, you can make it as part of the Attack action instead of as a Bonus Action. You can make this extra attack only once per turn.</t>
  </si>
  <si>
    <t>Lock</t>
  </si>
  <si>
    <t>Utility, Warding</t>
  </si>
  <si>
    <t>A Lock comes with a key. Without the key, a creature can use Thieves’ Tools to pick this Lock with a successful DC 15 Dexterity (Sleight of Hand) check.</t>
  </si>
  <si>
    <t>Lolth’s Sting</t>
  </si>
  <si>
    <t>Injury Poison</t>
  </si>
  <si>
    <t>A creature subjected to Lolth’s Sting must succeed on a DC 13 Constitution saving throw or have the Poisoned condition for 1 hour. If the creature fails the save by 5 or more, the creature also has the Unconscious condition while Poisoned in this way. The creature wakes up if it takes damage or if another creature takes an action to shake it awake.</t>
  </si>
  <si>
    <t>Longbow</t>
  </si>
  <si>
    <t>Ammunition, Heavy, (Range 150/600), Two-Handed, Slow</t>
  </si>
  <si>
    <t>Proficiency with a Longbow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</si>
  <si>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Longship</t>
  </si>
  <si>
    <t>10,000 GP</t>
  </si>
  <si>
    <t>Longships have the following statistics: AC 15 HP 300 Speed 3 mph Damage Threshold 15 Crew 40 Passengers 150 Cargo (Tons) 10</t>
  </si>
  <si>
    <t>Longsword</t>
  </si>
  <si>
    <t>Versatile (1d10), Sap</t>
  </si>
  <si>
    <t>Proficiency with a Longsword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</si>
  <si>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Lute</t>
  </si>
  <si>
    <t>Lyre</t>
  </si>
  <si>
    <t>Mace</t>
  </si>
  <si>
    <t>Proficiency with a Mace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</si>
  <si>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Magnifying Glass</t>
  </si>
  <si>
    <t>Detection, Utility, Exploration</t>
  </si>
  <si>
    <t>A Magnifying Glass grants Advantage on any ability check made to appraise or inspect a highly detailed item. Lighting a fire with a Magnifying Glass requires light as bright as sunlight to focus, tinder to ignite, and about 5 minutes for the fire to ignite.</t>
  </si>
  <si>
    <t>Malice</t>
  </si>
  <si>
    <t>A creature subjected to Malice must succeed on a DC 15 Constitution saving throw or have the Poisoned condition for 1 hour. The creature also has the Blinded condition while Poisoned in this way.</t>
  </si>
  <si>
    <t>Manacles</t>
  </si>
  <si>
    <t>Control, Utility</t>
  </si>
  <si>
    <t>As a Utilize action, you can use Manacles to bind an unwilling Small or Medium creature within 5 feet of yourself that has the Grappled, Incapacitated, or Restrained condition if you succeed on a DC 13 Dexterity (Sleight of Hand) check. While bound, a creature has Disadvantage on attack rolls, and the creature is Restrained if the Manacles are attached to a chain or hook that is fixed in place. Escaping the Manacles requires a successful DC 20 Dexterity (Sleight of Hand) check as an action. Bursting them requires a successful DC 25 Strength (Athletics) check as an action. Each set of Manacles comes with a key. Without the key, a creature can use Thieves’ Tools to pick the Manacles’ lock with a successful DC 15 Dexterity (Sleight of Hand) check.</t>
  </si>
  <si>
    <t>Map</t>
  </si>
  <si>
    <t>If you consult an accurate Map, you gain a +5 bonus to Wisdom (Survival) checks you make to find your way in the place represented on it.</t>
  </si>
  <si>
    <t>Map or Scroll Case</t>
  </si>
  <si>
    <t>A Map or Scroll Case holds up to 10 sheets of paper or 5 sheets of parchment.</t>
  </si>
  <si>
    <t>Mason's Tools</t>
  </si>
  <si>
    <t>Ability: Strength Utilize: Chisel a symbol or hole in stone (DC 10) Craft: Block and Tackle If you have proficiency with a tool, add your Proficiency Bonus to any ability check you make that uses the tool. If you have proficiency in a skill that’s used with that check, you have Advantage on the check too.</t>
  </si>
  <si>
    <t>Mastiff</t>
  </si>
  <si>
    <t>Mastiff Stat Block Speed 40 ft. Carrying Capacity 195 lb. A good mount can help you move more quickly through the wilderness, but its primary purpose is to carry the gear that would otherwise slow you down.</t>
  </si>
  <si>
    <t>Maul</t>
  </si>
  <si>
    <t>Heavy, Two-Handed, Topple</t>
  </si>
  <si>
    <t>Proficiency with a Maul allows you to add your proficiency bonus to the attack roll for any attack you make with it. This weapon has the following mastery property. To use this property, you must have a feature that lets you use it. Topple. If you hit a creature with this weapon, you can force the creature to make a Constitution saving throw (DC 8 plus the ability modifier used to make the attack roll and your Proficiency Bonus). On a failed save, the creature has the Prone condition.</t>
  </si>
  <si>
    <t>Midnight Tears</t>
  </si>
  <si>
    <t>1,500 GP</t>
  </si>
  <si>
    <t>Ingested Poison</t>
  </si>
  <si>
    <t>A creature that ingests Midnight Tears suffers no effect until the stroke of midnight. Any effect that ends the Poisoned condition neutralizes this poison. If the poison hasn’t been neutralized before midnight, the creature makes a DC 17 Constitution saving throw, taking 31 (9d6) Poison damage on a failed save or half as much damage on a successful one.</t>
  </si>
  <si>
    <t>Military Saddle</t>
  </si>
  <si>
    <t>30 lbs</t>
  </si>
  <si>
    <t>A Military Saddle gives Advantage on any ability check you make to remain mounted.</t>
  </si>
  <si>
    <t>Mirror</t>
  </si>
  <si>
    <t>A handheld steel Mirror is useful for personal cosmetics but also for peeking around corners and reflecting light as a signal.</t>
  </si>
  <si>
    <t>Morningstar</t>
  </si>
  <si>
    <t>Proficiency with a Morningstar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</si>
  <si>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Mule</t>
  </si>
  <si>
    <t>Mule Stat Block Speed 40 ft. Carrying Capacity 420 lb. A good mount can help you move more quickly through the wilderness, but its primary purpose is to carry the gear that would otherwise slow you down.</t>
  </si>
  <si>
    <t>Musket</t>
  </si>
  <si>
    <t>Ammunition (Firearms), (Range 40/120), Loading, Two-Handed, Slow</t>
  </si>
  <si>
    <t>Proficiency with a Musket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</si>
  <si>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Navigator's Tools</t>
  </si>
  <si>
    <t>Ability: Wisdom Utilize: Plot a course (DC 10), or determine position by stargazing (DC 15) If you have proficiency with a tool, add your Proficiency Bonus to any ability check you make that uses the tool. If you have proficiency in a skill that’s used with that check, you have Advantage on the check too.</t>
  </si>
  <si>
    <t>Needles</t>
  </si>
  <si>
    <t>Blowgun needles are used with a weapon that has the ammunition property to make a ranged attack. Each time you attack with the weapon, you expend one piece of ammunition. Drawing the ammunition from a quiver, case, or other container is part of the attack (you need a free hand to load a one-handed weapon). At the end of the battle, you can recover half your expended ammunition by taking a minute to search the battlefield.</t>
  </si>
  <si>
    <t>Net</t>
  </si>
  <si>
    <t>When you take the Attack action, you can replace one of your attacks with throwing a Net. Target a creature you can see within 15 feet of yourself. The target must succeed on a Dexterity saving throw (DC 8 plus your Dexterity modifier and Proficiency Bonus) or have the Restrained condition until it escapes. The target succeeds automatically if it is Huge or larger. To escape, the target or a creature within 5 feet of it must take an action to make a DC 10 Strength (Athletics) check, freeing the Restrained creature on a success. Destroying the Net (AC 10; 5 HP; Immunity to Bludgeoning, Poison, and Psychic damage) also frees the target, ending the effect.</t>
  </si>
  <si>
    <t>Net (Legacy)</t>
  </si>
  <si>
    <t>0</t>
  </si>
  <si>
    <t>Special, Thrown (range 5/15)</t>
  </si>
  <si>
    <t>Control, Combat</t>
  </si>
  <si>
    <t>Proficiency with a net allows you to add your proficiency bonus to the attack roll for any attack you make with it. A Large or smaller creature hit by a net is restrained until it is freed. A net has no effect on creatures that are formless, or creatures that are Huge or larger. A creature can use its action to make a DC 10 Strength check, freeing itself or another creature within its reach on a success. Dealing 5 slashing damage to the net (AC 10) also frees the creature without harming it, ending the effect and destroying the net. When you use an action, bonus action, or reaction to attack with a net, you can make only one attack regardless of the number of attacks you can normally make.</t>
  </si>
  <si>
    <t>Oil</t>
  </si>
  <si>
    <t>You can douse a creature, object, or space with Oil or use it as fuel, as detailed below. Dousing a Creature or an Object. When you take the Attack action, you can replace one of your attacks with throwing an Oil flask. Target one creature or object within 20 feet of yourself. The target must succeed on a Dexterity saving throw (DC 8 plus your Dexterity modifier and Proficiency Bonus) or be covered in oil. If the target takes Fire damage before the oil dries (after 1 minute), the target takes an extra 5 Fire damage from burning oil. Dousing a Space. You can take the Utilize action to pour an Oil flask on level ground to cover a 5-foot-square area within 5 feet of yourself. If lit, the oil burns until the end of the turn 2 rounds from when the oil was lit (or 12 seconds) and deals 5 Fire damage to any creature that enters the area or ends its turn there. A creature can take this damage only once per turn. Fuel. Oil serves as fuel for Lamps and Lanterns. Once lit, a flask of Oil burns for 6 hours in a Lamp or Lantern. That duration doesn’t need to be consecutive; you can extinguish the burning Oil (as a Utilize action) and rekindle it again until it has burned for a total of 6 hours.</t>
  </si>
  <si>
    <t>Oil of Taggit</t>
  </si>
  <si>
    <t>A creature subjected to Oil of Taggit must succeed on a DC 13 Constitution saving throw or have the Poisoned condition for 24 hours. The creature also has the Unconscious condition while Poisoned in this way. It wakes up if it takes damage.</t>
  </si>
  <si>
    <t>Orb</t>
  </si>
  <si>
    <t>Padded</t>
  </si>
  <si>
    <t>Padded armor consists of quilted layers of cloth and batting.</t>
  </si>
  <si>
    <t>Painter's Supplies</t>
  </si>
  <si>
    <t>Ability: Wisdom Utilize: Paint a recognizable image of something you’ve seen (DC 10) Craft: Druidic Focus, Holy Symbol If you have proficiency with a tool, add your Proficiency Bonus to any ability check you make that uses the tool. If you have proficiency in a skill that’s used with that check, you have Advantage on the check too.</t>
  </si>
  <si>
    <t>Pale Tincture</t>
  </si>
  <si>
    <t>A creature subjected to Pale Tincture must succeed on a DC 16 Constitution saving throw or take 3 (1d6) Poison damage and have the Poisoned condition. The Poisoned creature repeats the save every 24 hours, taking 3 (1d6) Poison damage on a failed save. The damage the poison deals can’t be healed by any means while the creature remains Poisoned. After seven successful saves against the poison, the creature is no longer Poisoned.</t>
  </si>
  <si>
    <t>Pan Flute</t>
  </si>
  <si>
    <t>Paper</t>
  </si>
  <si>
    <t>One sheet of Paper can hold about 250 handwritten words.</t>
  </si>
  <si>
    <t>Parchment</t>
  </si>
  <si>
    <t>One sheet of Parchment can hold about 250 handwritten words.</t>
  </si>
  <si>
    <t>Perfume</t>
  </si>
  <si>
    <t>Social, Utility, Consumable</t>
  </si>
  <si>
    <t>Perfume comes in a 4-ounce vial. For 1 hour after applying Perfume to yourself, you have Advantage on Charisma (Persuasion) checks made to influence an Indifferent Humanoid within 5 feet of yourself.</t>
  </si>
  <si>
    <t>Pike</t>
  </si>
  <si>
    <t>Heavy, Reach, Two-Handed, Push</t>
  </si>
  <si>
    <t>Proficiency with a Pike allows you to add your proficiency bonus to the attack roll for any attack you make with it. This weapon has the following mastery property. To use this property, you must have a feature that lets you use it. Push. If you hit a creature with this weapon, you can push the creature up to 10 feet straight away from yourself if it is Large or smaller.</t>
  </si>
  <si>
    <t>Pistol</t>
  </si>
  <si>
    <t>Ammunition (Firearms), (Range 30/90), Loading, Vex</t>
  </si>
  <si>
    <t>Proficiency with a Pistol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</si>
  <si>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Plate</t>
  </si>
  <si>
    <t>65 lbs</t>
  </si>
  <si>
    <t>18</t>
  </si>
  <si>
    <t>15</t>
  </si>
  <si>
    <t>Plate consists of shaped, interlocking metal plates to cover the entire body. A suit of plate includes gauntlets, heavy leather boots, a visored helmet, and thick layers of padding underneath the armor. Buckles and straps distribute the weight over the body.</t>
  </si>
  <si>
    <t>Playing Cards</t>
  </si>
  <si>
    <t>Poisoner's Kit</t>
  </si>
  <si>
    <t>Ability: Intelligence Utilize: Detect a poisoned object (DC 10) Craft: Basic Poison If you have proficiency with a tool, add your Proficiency Bonus to any ability check you make that uses the tool. If you have proficiency in a skill that’s used with that check, you have Advantage on the check too.</t>
  </si>
  <si>
    <t>Pole</t>
  </si>
  <si>
    <t>A Pole is 10 feet long. You can use it to touch something up to 10 feet away. If you must make a Strength (Athletics) check as part of a High or Long Jump, you can use the Pole to vault, giving yourself Advantage on the check.</t>
  </si>
  <si>
    <t>Pony</t>
  </si>
  <si>
    <t>Pony Stat Block Speed 40 ft. Carrying Capacity 225 lb. A good mount can help you move more quickly through the wilderness, but its primary purpose is to carry the gear that would otherwise slow you down.</t>
  </si>
  <si>
    <t>Portable Ram</t>
  </si>
  <si>
    <t>4 GP</t>
  </si>
  <si>
    <t>35 lbs</t>
  </si>
  <si>
    <t>You can use a Portable Ram to break down doors. When doing so, you gain a +4 bonus to the Strength check. One other character can help you use the ram, giving you Advantage on this check.</t>
  </si>
  <si>
    <t>Potter's Tools</t>
  </si>
  <si>
    <t>Ability: Intelligence Utilize: Discern what a ceramic object held in the past 24 hours (DC 15) Craft: Jug, Lamp If you have proficiency with a tool, add your Proficiency Bonus to any ability check you make that uses the tool. If you have proficiency in a skill that’s used with that check, you have Advantage on the check too.</t>
  </si>
  <si>
    <t>Pouch</t>
  </si>
  <si>
    <t>A Pouch holds up to 6 pounds within one-fifth of a cubic foot.</t>
  </si>
  <si>
    <t>Priest's Pack</t>
  </si>
  <si>
    <t>33 GP</t>
  </si>
  <si>
    <t>29 lbs</t>
  </si>
  <si>
    <t>A Priest’s Pack contains the following items: Backpack, Blanket, Holy Water, Lamp, 7 days of Rations, Robe, and Tinderbox.</t>
  </si>
  <si>
    <t>Purple Worm Poison</t>
  </si>
  <si>
    <t>2,000 GP</t>
  </si>
  <si>
    <t>A creature subjected to Purple Worm Poison makes a DC 21 Constitution saving throw, taking 35 (10d6) Poison damage on a failed save or half as much damage on a successful one.</t>
  </si>
  <si>
    <t>Quarterstaff</t>
  </si>
  <si>
    <t>Versatile (1d8), Topple</t>
  </si>
  <si>
    <t>Proficiency with a Quarterstaff allows you to add your proficiency bonus to the attack roll for any attack you make with it. This weapon has the following mastery property. To use this property, you must have a feature that lets you use it. Topple. If you hit a creature with this weapon, you can force the creature to make a Constitution saving throw (DC 8 plus the ability modifier used to make the attack roll and your Proficiency Bonus). On a failed save, the creature has the Prone condition.</t>
  </si>
  <si>
    <t>Quiver</t>
  </si>
  <si>
    <t>A Quiver holds up to 20 Arrows.</t>
  </si>
  <si>
    <t>Rapier</t>
  </si>
  <si>
    <t>Finesse, Vex</t>
  </si>
  <si>
    <t>Proficiency with a Rapier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</si>
  <si>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Rations</t>
  </si>
  <si>
    <t>Rations consist of travel-ready food, including jerky, dried fruit, hardtack, and nuts. See “Malnutrition” for the risks of not eating.</t>
  </si>
  <si>
    <t>Reliquary</t>
  </si>
  <si>
    <t>A Reliquary is a Holy Symbol that is bejeweled or painted to channel divine magic. A Cleric or Paladin can use this item as a Spellcasting Focus. Reliquaries must be held.</t>
  </si>
  <si>
    <t>Revolver</t>
  </si>
  <si>
    <t>2d8</t>
  </si>
  <si>
    <t>Ammunition (Firearms), (Range 40/120), Reload, Sap</t>
  </si>
  <si>
    <t>Reload (6 shots)</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</si>
  <si>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Sap. If you hit a creature with this weapon, that creature has Disadvantage on its next attack roll before the start of your next turn. Notes: Reload (6 shots)</t>
  </si>
  <si>
    <t>Riding Horse</t>
  </si>
  <si>
    <t>Riding Horse Stat Block Speed 60 ft. Carrying Capacity 480 lb. A good mount can help you move more quickly through the wilderness, but its primary purpose is to carry the gear that would otherwise slow you down.</t>
  </si>
  <si>
    <t>Riding Saddle</t>
  </si>
  <si>
    <t>A standard saddle for a riding mount.</t>
  </si>
  <si>
    <t>Rifle, Automatic</t>
  </si>
  <si>
    <t>Ammunition (Firearms), (Range 80/240), Reload, Two-Handed, Burst Fire, Slow</t>
  </si>
  <si>
    <t>Rifle, Hunting</t>
  </si>
  <si>
    <t>2d10</t>
  </si>
  <si>
    <t>Ammunition (Firearms), (Range 80/240), Reload, Two-Handed, Slow</t>
  </si>
  <si>
    <t>Reload (5 shots)</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</si>
  <si>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 Notes: Reload (5 shots)</t>
  </si>
  <si>
    <t>Ring Mail</t>
  </si>
  <si>
    <t>14</t>
  </si>
  <si>
    <t>This armor is leather armor with heavy rings sewn into it. The rings help reinforce the armor against blows from swords and axes. Ring mail is inferior to chain mail, and it's usually worn only by those who can't afford better armor.</t>
  </si>
  <si>
    <t>Robe</t>
  </si>
  <si>
    <t>A Robe has vocational or ceremonial significance. Some events and locations admit only people wearing a Robe bearing certain colors or symbols.</t>
  </si>
  <si>
    <t>Rod</t>
  </si>
  <si>
    <t>Rope</t>
  </si>
  <si>
    <t>As a Utilize action, you can tie a knot with Rope if you succeed on a DC 10 Dexterity (Sleight of Hand) check. The Rope can be burst with a successful DC 20 Strength (Athletics) check. You can bind an unwilling creature with the Rope only if the creature has the Grappled, Incapacitated, or Restrained condition. If the creature’s legs are bound, the creature has the Restrained condition until it escapes. Escaping the Rope requires the creature to make a successful DC 15 Dexterity (Acrobatics) check as an action.</t>
  </si>
  <si>
    <t>Rowboat</t>
  </si>
  <si>
    <t>Rowboats have the following statistics: AC 11 HP 50 Speed 1½ mph Damage Threshold — Crew 1 Passengers 3 Cargo (Tons) —</t>
  </si>
  <si>
    <t>Sack</t>
  </si>
  <si>
    <t>A Sack holds up to 30 pounds within 1 cubic foot.</t>
  </si>
  <si>
    <t>Sailing Ship</t>
  </si>
  <si>
    <t>Speed 2 mph</t>
  </si>
  <si>
    <t>Sailing Ships have the following statistics: AC 15 HP 300 Speed 2 mph Damage Threshold 15 Crew 20 Passengers 20 Cargo (Tons) 100 Notes: Speed 2 mph</t>
  </si>
  <si>
    <t>Scale Mail</t>
  </si>
  <si>
    <t>45 lbs</t>
  </si>
  <si>
    <t>This armor consists of a coat and leggings (and perhaps a separate skirt) of leather covered with overlapping pieces of metal, much like the scales of a fish. The suit includes gauntlets.</t>
  </si>
  <si>
    <t>Scholar's Pack</t>
  </si>
  <si>
    <t>22 lbs</t>
  </si>
  <si>
    <t>Social, Utility, Container</t>
  </si>
  <si>
    <t>A Scholar’s Pack contains the following items: Backpack, Book, Ink, Ink Pen, Lamp, 10 flasks of Oil, 10 sheets of Parchment, and Tinderbox.</t>
  </si>
  <si>
    <t>Scimitar</t>
  </si>
  <si>
    <t>Finesse, Light, Nick</t>
  </si>
  <si>
    <t>Proficiency with a Scimitar allows you to add your proficiency bonus to the attack roll for any attack you make with it. This weapon has the following mastery property. To use this property, you must have a feature that lets you use it. Nick. When you make the extra attack of the Light property, you can make it as part of the Attack action instead of as a Bonus Action. You can make this extra attack only once per turn.</t>
  </si>
  <si>
    <t>Semiautomatic Pistol</t>
  </si>
  <si>
    <t>Ammunition (Firearms), (Range 50/150), Reload, Vex</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</si>
  <si>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</si>
  <si>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Serpent Venom</t>
  </si>
  <si>
    <t>A creature subjected to Serpent Venom must succeed on a DC 11 Constitution saving throw, taking 10 (3d6) Poison damage on a failed save or half as much damage on a successful one.</t>
  </si>
  <si>
    <t>Shawm</t>
  </si>
  <si>
    <t>Shield</t>
  </si>
  <si>
    <t>2</t>
  </si>
  <si>
    <t>Shields require the Utilize action to Don or Doff. You gain the Armor Class benefit of a Shield only if you have training with it.</t>
  </si>
  <si>
    <t>Shortbow</t>
  </si>
  <si>
    <t>Ammunition, (Range 80/320), Two-Handed, Vex</t>
  </si>
  <si>
    <t>Proficiency with a Shortbow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</si>
  <si>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Shortsword</t>
  </si>
  <si>
    <t>Finesse, Light, Vex</t>
  </si>
  <si>
    <t>Proficiency with a Shortsword allows you to add your proficiency bonus to the attack roll for any attack you make with it. This weapon has the following mastery property. To use this property, you must have a feature that lets you use it. Vex. If you hit a creature with this weapon and deal damage to the creature, you have Advantage on your next attack roll against that creature before the end of your next turn.</t>
  </si>
  <si>
    <t>Shotgun</t>
  </si>
  <si>
    <t>Ammunition (Firearms), (Range 30/90), Reload, Two-Handed, Push</t>
  </si>
  <si>
    <t>Reload (2 shots)</t>
  </si>
  <si>
    <t>It’s up to you to decide whether a character has proficiency with a firearm. Characters in most D&amp;D worlds wouldn’t have such proficiency. During their downtime, characters can use the training rules in the Player’s Handbook to acquire proficiency, assuming that they have enough ammunition to keep the weapons working while mastering their use. This weapon has the following mastery property. To use this property, you must have a feature that lets you use it. Push. If you hit a creature with this weapon, you can push the creature up to 10 feet straight away from yourself if it is Large or smaller. Notes: Reload (2 shots)</t>
  </si>
  <si>
    <t>Shovel</t>
  </si>
  <si>
    <t>Working for 1 hour, you can use a Shovel to dig a hole that is 5 feet on each side in soil or similar material.</t>
  </si>
  <si>
    <t>Sickle</t>
  </si>
  <si>
    <t>Light, Nick</t>
  </si>
  <si>
    <t>Proficiency with a Sickle allows you to add your proficiency bonus to the attack roll for any attack you make with it. This weapon has the following mastery property. To use this property, you must have a feature that lets you use it. Nick. When you make the extra attack of the Light property, you can make it as part of the Attack action instead of as a Bonus Action. You can make this extra attack only once per turn.</t>
  </si>
  <si>
    <t>Signal Whistle</t>
  </si>
  <si>
    <t>Communication, Utility</t>
  </si>
  <si>
    <t>When blown as a Utilize action, a Signal Whistle produces a sound that can be heard up to 600 feet away.</t>
  </si>
  <si>
    <t>Sled</t>
  </si>
  <si>
    <t>300 lbs</t>
  </si>
  <si>
    <t>Sling</t>
  </si>
  <si>
    <t>Ammunition, (Range 30/120), Slow</t>
  </si>
  <si>
    <t>Proficiency with a Sling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</si>
  <si>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Sling Bullets</t>
  </si>
  <si>
    <t>4 CP</t>
  </si>
  <si>
    <t>1 1/2 lb</t>
  </si>
  <si>
    <t>Sling bullets are used with a weapon that has the ammunition property to make a ranged attack. Each time you attack with the weapon, you expend one piece of ammunition. Drawing the ammunition from a quiver, case, or other container is part of the attack (you need a free hand to load a one-handed weapon). At the end of the battle, you can recover half your expended ammunition by taking a minute to search the battlefield.</t>
  </si>
  <si>
    <t>Smith's Tools</t>
  </si>
  <si>
    <t>Ability: Strength Utilize: Pry open a door or container (DC 20) Craft: Any Melee weapon (except Club, Greatclub, Quarterstaff, and Whip), Medium armor (except Hide), Heavy armor, Ball Bearings, Bucket, Caltrops, Chain, Crowbar, Firearm Bullets, Grappling Hook, Iron Pot, Iron Spikes, Sling Bullets If you have proficiency with a tool, add your Proficiency Bonus to any ability check you make that uses the tool. If you have proficiency in a skill that’s used with that check, you have Advantage on the check too.</t>
  </si>
  <si>
    <t>Smoke Grenade</t>
  </si>
  <si>
    <t>As an action, you can either throw a grenade at a point up to 60 feet away or use a Grenade Launcher to propel the grenade to a point up to 1,000 feet away. The grenade explodes at that point, creating a particular effect in a 20-foot-radius Sphere. The area of the Sphere is Heavily Obscured by smoke for 1 minute. A strong wind (such as the Gust of Wind spell) disperses the smoke.</t>
  </si>
  <si>
    <t>Spear</t>
  </si>
  <si>
    <t>Thrown (range 20/60), Versatile (1d8), Sap</t>
  </si>
  <si>
    <t>Proficiency with a Spear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</si>
  <si>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Spiked Armor</t>
  </si>
  <si>
    <t>Damage, Warding</t>
  </si>
  <si>
    <t>Spiked armor is a rare type of medium armor made by dwarves. It consists of a leather coat and leggings covered with spikes that are usually made of metal.</t>
  </si>
  <si>
    <t>Splint</t>
  </si>
  <si>
    <t>60 lbs</t>
  </si>
  <si>
    <t>17</t>
  </si>
  <si>
    <t>This armor is made of narrow vertical strips of metal riveted to a backing of leather that is worn over cloth padding. Flexible chain mail protects the joints.</t>
  </si>
  <si>
    <t>Sprig of Mistletoe</t>
  </si>
  <si>
    <t>A Sprig of Mistletoe is a Druidic Focus that is carved, tied with ribbon, or painted to channel primal magic. A Druid or Ranger can use this item as a Spellcasting Focus.</t>
  </si>
  <si>
    <t>Spyglass</t>
  </si>
  <si>
    <t>1,000 GP</t>
  </si>
  <si>
    <t>Social, Utility, Exploration</t>
  </si>
  <si>
    <t>Objects viewed through a Spyglass are magnified to twice their size.</t>
  </si>
  <si>
    <t>Staff</t>
  </si>
  <si>
    <t>String</t>
  </si>
  <si>
    <t>String is 10 feet long. You can tie a knot in it as a Utilize action.</t>
  </si>
  <si>
    <t>Studded Leather</t>
  </si>
  <si>
    <t>45 GP</t>
  </si>
  <si>
    <t>13 lbs</t>
  </si>
  <si>
    <t>12 + Dex modifier</t>
  </si>
  <si>
    <t>Made from tough but flexible leather, studded leather is reinforced with close-set rivets or spikes.</t>
  </si>
  <si>
    <t>Tent</t>
  </si>
  <si>
    <t>A Tent sleeps up to two Small or Medium creatures.</t>
  </si>
  <si>
    <t>Thieves' Tools</t>
  </si>
  <si>
    <t>Ability: Dexterity Utilize: Pick a lock (DC 15), or disarm a trap (DC 15) If you have proficiency with a tool, add your Proficiency Bonus to any ability check you make that uses the tool. If you have proficiency in a skill that’s used with that check, you have Advantage on the check too.</t>
  </si>
  <si>
    <t>Three-Dragon Ante</t>
  </si>
  <si>
    <t>Tinderbox</t>
  </si>
  <si>
    <t>A Tinderbox is a small container holding flint, fire steel, and tinder (usually dry cloth soaked in light oil) used to kindle a fire. Using it to light a Candle, Lamp, Lantern, or Torch—or anything else with exposed fuel—takes a Bonus Action. Lighting any other fire takes 1 minute.</t>
  </si>
  <si>
    <t>Tinker's Tools</t>
  </si>
  <si>
    <t>Ability: Dexterity Utilize: Assemble a Tiny item composed of scrap, which falls apart in 1 minute (DC 20) Craft: Musket, Pistol, Bell, Bullseye Lantern, Flask, Hooded Lantern, Hunting Trap, Lock, Manacles, Mirror, Shovel, Signal Whistle, Tinderbox If you have proficiency with a tool, add your Proficiency Bonus to any ability check you make that uses the tool. If you have proficiency in a skill that’s used with that check, you have Advantage on the check too.</t>
  </si>
  <si>
    <t>Torch</t>
  </si>
  <si>
    <t>Damage, Utility, Exploration, Combat</t>
  </si>
  <si>
    <t>A Torch burns for 1 hour, casting Bright Light in a 20-foot radius and Dim Light for an additional 20 feet. When you take the Attack action, you can attack with the Torch, using it as a Simple Melee weapon. On a hit, the target takes 1 Fire damage.</t>
  </si>
  <si>
    <t>Torpor</t>
  </si>
  <si>
    <t>600 GP</t>
  </si>
  <si>
    <t>A creature subjected to Torpor poison must succeed on a DC 15 Constitution saving throw or have the Poisoned condition for 4d6 hours. The creature’s Speed is halved while the creature is Poisoned in this way.</t>
  </si>
  <si>
    <t>Traveler's Clothes</t>
  </si>
  <si>
    <t>Traveler’s Clothes are resilient garments designed for travel in various environments.</t>
  </si>
  <si>
    <t>Trident</t>
  </si>
  <si>
    <t>Thrown (range 20/60), Versatile (1d10), Topple</t>
  </si>
  <si>
    <t>Proficiency with a Trident allows you to add your proficiency bonus to the attack roll for any attack you make with it. This weapon has the following mastery property. To use this property, you must have a feature that lets you use it. Topple. If you hit a creature with this weapon, you can force the creature to make a Constitution saving throw (DC 8 plus the ability modifier used to make the attack roll and your Proficiency Bonus). On a failed save, the creature has the Prone condition.</t>
  </si>
  <si>
    <t>Truth Serum</t>
  </si>
  <si>
    <t>150 GP</t>
  </si>
  <si>
    <t>A creature subjected to Truth Serum must succeed on a DC 11 Constitution saving throw or have the Poisoned condition for 1 hour. The Poisoned creature can’t knowingly communicate a lie.</t>
  </si>
  <si>
    <t>Vial</t>
  </si>
  <si>
    <t>A Vial holds up to 4 ounces.</t>
  </si>
  <si>
    <t>Viol</t>
  </si>
  <si>
    <t>Wagon</t>
  </si>
  <si>
    <t>400 lbs</t>
  </si>
  <si>
    <t>Wand</t>
  </si>
  <si>
    <t>War Pick</t>
  </si>
  <si>
    <t>Sap, Versatile (1d10)</t>
  </si>
  <si>
    <t>Proficiency with a War Pick allows you to add your proficiency bonus to the attack roll for any attack you make with it. This weapon has the following mastery property. To use this property, you must have a feature that lets you use it. Sap. If you hit a creature with this weapon, that creature has Disadvantage on its next attack roll before the start of your next turn.</t>
  </si>
  <si>
    <t>Warhammer</t>
  </si>
  <si>
    <t>Versatile (1d10), Push</t>
  </si>
  <si>
    <t>Proficiency with a Warhammer allows you to add your proficiency bonus to the attack roll for any attack you make with it. This weapon has the following mastery property. To use this property, you must have a feature that lets you use it. Push. If you hit a creature with this weapon, you can push the creature up to 10 feet straight away from yourself if it is Large or smaller.</t>
  </si>
  <si>
    <t>Warhorse</t>
  </si>
  <si>
    <t>Warhorse Stat Block Speed 60 ft. Carry Capacity 540 lb. A good mount can help you move more quickly through the wilderness, but its primary purpose is to carry the gear that would otherwise slow you down.</t>
  </si>
  <si>
    <t>Warship</t>
  </si>
  <si>
    <t>25,000 GP</t>
  </si>
  <si>
    <t>2 1/2 mph</t>
  </si>
  <si>
    <t>Warships have the following statistics: AC 15 HP 500 Speed 2½ mph Damage Threshold 20 Crew 60 Passengers 60 Cargo (Tons) 200 Notes: 2 1/2 mph</t>
  </si>
  <si>
    <t>Waterskin</t>
  </si>
  <si>
    <t>A Waterskin holds up to 4 pints. If you don’t drink sufficient water, you risk dehydration.</t>
  </si>
  <si>
    <t>Weaver's Tools</t>
  </si>
  <si>
    <t>Ability: Dexterity Utilize: Mend a tear in clothing (DC 10), or sew a Tiny design (DC 10) Craft: Padded Armor, Basket, Bedroll, Blanket, Fine Clothes, Net, Robe, Rope, Sack, String, Tent, Traveler's Clothes If you have proficiency with a tool, add your Proficiency Bonus to any ability check you make that uses the tool. If you have proficiency in a skill that’s used with that check, you have Advantage on the check too.</t>
  </si>
  <si>
    <t>Whip</t>
  </si>
  <si>
    <t>Finesse, Reach, Slow</t>
  </si>
  <si>
    <t>Proficiency with a Whip allows you to add your proficiency bonus to the attack roll for any attack you make with it. This weapon has the following mastery property. To use this property, you must have a feature that lets you use it. Slow. If you hit a creature with this weapon and deal damage to it, you can reduce its Speed by 10 feet until the start of your next turn. If the creature is hit more than once by weapons that have this property, the Speed reduction doesn’t exceed 10 feet.</t>
  </si>
  <si>
    <t>Woodcarver's Tools</t>
  </si>
  <si>
    <t>Ability: Dexterity Utilize: Carve a pattern in wood (DC 10) Craft: Club, Greatclub, Quarterstaff, Ranged weapons (except Pistol, Musket, and Sling), Arcane Focus, Arrows, Bolts, Druidic Focus, Ink Pen, Needles If you have proficiency with a tool, add your Proficiency Bonus to any ability check you make that uses the tool. If you have proficiency in a skill that’s used with that check, you have Advantage on the check too.</t>
  </si>
  <si>
    <t>Wooden Staff</t>
  </si>
  <si>
    <t>A Wooden Staff is a Druidic Focus that is carved, tied with ribbon, or painted to channel primal magic. A Druid or Ranger can use this item as a Spellcasting Focus.</t>
  </si>
  <si>
    <t>Wyvern Poison</t>
  </si>
  <si>
    <t>1,200 GP</t>
  </si>
  <si>
    <t>A creature subjected to Wyvern Poison makes a DC 14 Constitution saving throw, taking 24 (7d6) Poison damage on a failed save or half as much damage on a successful one.</t>
  </si>
  <si>
    <t>Yew Wand</t>
  </si>
  <si>
    <t>A Yew Wand is a Druidic Focus that is carved, tied with ribbon, or painted to channel primal magic. A Druid or Ranger can use this item as a Spellcasting Focus.</t>
  </si>
  <si>
    <t>Rarity</t>
  </si>
  <si>
    <t>Common</t>
  </si>
  <si>
    <t>Uncommon</t>
  </si>
  <si>
    <t>Rare</t>
  </si>
  <si>
    <t>Very Rare</t>
  </si>
  <si>
    <t>Legendary</t>
  </si>
  <si>
    <t>Artifact</t>
  </si>
  <si>
    <t>Priceless</t>
  </si>
  <si>
    <t>Magic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</si>
</sst>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3"/>
      <color rgb="FF1F3864"/>
      <name val="Arial"/>
      <charset val="1"/>
    </font>
    <font>
      <i/>
      <sz val="9"/>
      <name val="Arial"/>
      <charset val="1"/>
    </font>
    <font>
      <b/>
      <sz val="11"/>
      <color rgb="FF1F3864"/>
      <name val="Arial"/>
      <charset val="1"/>
    </font>
    <font>
      <b/>
      <sz val="10"/>
      <color rgb="FFFFFFFF"/>
      <name val="Arial"/>
      <charset val="1"/>
    </font>
    <font>
      <sz val="10"/>
      <name val="Arial"/>
      <charset val="1"/>
    </font>
    <font>
      <b/>
      <sz val="10"/>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4" fontId="5" fillId="0" borderId="0" xfId="0" applyNumberFormat="1" applyFont="1"/>
    <xf numFmtId="0" fontId="6" fillId="0" borderId="0" xfId="0" applyFont="1"/>
    <xf numFmtId="0" fontId="4" fillId="2" borderId="0" xfId="0" applyFont="1" applyFill="1" applyAlignment="1">
      <alignment vertical="center"/>
    </xf>
    <xf numFmtId="0" fontId="5" fillId="0" borderId="1" xfId="0" applyFont="1" applyBorder="1"/>
    <xf numFmtId="4" fontId="5" fillId="0" borderId="1" xfId="0" applyNumberFormat="1" applyFont="1" applyBorder="1" applyAlignment="1">
      <alignment horizontal="right"/>
    </xf>
    <xf numFmtId="0" fontId="0" fillId="0" borderId="0" xfId="0" applyAlignment="1">
      <alignment horizontal="center"/>
    </xf>
    <xf numFmtId="0" fontId="5"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0"/>
  <sheetViews>
    <sheetView zoomScaleNormal="100" workbookViewId="0">
      <selection activeCell="Q21" sqref="Q21"/>
    </sheetView>
  </sheetViews>
  <sheetFormatPr defaultColWidth="8.7109375" defaultRowHeight="15" x14ac:dyDescent="0.25"/>
  <cols>
    <col min="1" max="1" width="30" customWidth="1"/>
    <col min="2" max="2" width="12" customWidth="1"/>
    <col min="3" max="5" width="16" customWidth="1"/>
    <col min="8" max="8" width="11.140625" bestFit="1" customWidth="1"/>
    <col min="10" max="16" width="12.5703125" style="11" customWidth="1"/>
  </cols>
  <sheetData>
    <row r="1" spans="1:24" ht="16.5" x14ac:dyDescent="0.25">
      <c r="A1" s="1" t="s">
        <v>0</v>
      </c>
    </row>
    <row r="2" spans="1:24" x14ac:dyDescent="0.25">
      <c r="A2" s="2" t="s">
        <v>1</v>
      </c>
    </row>
    <row r="3" spans="1:24" x14ac:dyDescent="0.25">
      <c r="A3" s="2" t="s">
        <v>2</v>
      </c>
    </row>
    <row r="4" spans="1:24" x14ac:dyDescent="0.25">
      <c r="A4" s="2" t="s">
        <v>3</v>
      </c>
    </row>
    <row r="6" spans="1:24" x14ac:dyDescent="0.25">
      <c r="A6" s="3" t="s">
        <v>4</v>
      </c>
    </row>
    <row r="7" spans="1:24" x14ac:dyDescent="0.25">
      <c r="A7" s="4" t="s">
        <v>5</v>
      </c>
      <c r="B7" s="4" t="s">
        <v>6</v>
      </c>
      <c r="C7" s="4" t="s">
        <v>7</v>
      </c>
      <c r="D7" s="4" t="s">
        <v>8</v>
      </c>
      <c r="E7" s="4" t="s">
        <v>9</v>
      </c>
      <c r="I7">
        <v>0</v>
      </c>
      <c r="J7" s="12" t="s">
        <v>17</v>
      </c>
      <c r="K7" s="12" t="s">
        <v>10</v>
      </c>
      <c r="L7" s="12" t="s">
        <v>11</v>
      </c>
      <c r="M7" s="12" t="s">
        <v>18</v>
      </c>
      <c r="N7" s="12" t="s">
        <v>16</v>
      </c>
      <c r="O7" s="12" t="s">
        <v>12</v>
      </c>
      <c r="P7" s="12" t="s">
        <v>19</v>
      </c>
    </row>
    <row r="8" spans="1:24" x14ac:dyDescent="0.25">
      <c r="A8" s="5" t="s">
        <v>10</v>
      </c>
      <c r="B8" s="5">
        <f>COUNTIF('Alle items'!$C$2:$C$216,$A8)</f>
        <v>4</v>
      </c>
      <c r="C8" s="6">
        <f>IFERROR(_xlfn.MINIFS('Alle items'!$G$2:$G$216,'Alle items'!$C$2:$C$216,$A8),"")</f>
        <v>0.04</v>
      </c>
      <c r="D8" s="6">
        <f>IFERROR(_xlfn.MAXIFS('Alle items'!$G$2:$G$216,'Alle items'!$C$2:$C$216,$A8),"")</f>
        <v>3</v>
      </c>
      <c r="E8" s="6">
        <f>IFERROR(AVERAGEIF('Alle items'!$C$2:$C$216,$A8,'Alle items'!$G$2:$G$216),"")</f>
        <v>1.3466666666666667</v>
      </c>
      <c r="H8" t="s">
        <v>691</v>
      </c>
      <c r="I8">
        <v>2</v>
      </c>
      <c r="J8" s="11">
        <f>COUNTIFS('Alle items'!$C:$C,J$7,'Alle items'!$G:$G,"&gt;"&amp;$I7,'Alle items'!$G:$G,"&lt;="&amp;$I8)</f>
        <v>38</v>
      </c>
      <c r="K8" s="11">
        <f>COUNTIFS('Alle items'!$C:$C,K$7,'Alle items'!$G:$G,"&gt;"&amp;$I7,'Alle items'!$G:$G,"&lt;="&amp;$I8)</f>
        <v>2</v>
      </c>
      <c r="L8" s="11">
        <f>COUNTIFS('Alle items'!$C:$C,L$7,'Alle items'!$G:$G,"&gt;"&amp;$I7,'Alle items'!$G:$G,"&lt;="&amp;$I8)</f>
        <v>1</v>
      </c>
      <c r="M8" s="11">
        <f>COUNTIFS('Alle items'!$C:$C,M$7,'Alle items'!$G:$G,"&gt;"&amp;$I7,'Alle items'!$G:$G,"&lt;="&amp;$I8)</f>
        <v>12</v>
      </c>
      <c r="N8" s="11">
        <f>COUNTIFS('Alle items'!$C:$C,N$7,'Alle items'!$G:$G,"&gt;"&amp;$I7,'Alle items'!$G:$G,"&lt;="&amp;$I8)</f>
        <v>0</v>
      </c>
      <c r="O8" s="11">
        <f>COUNTIFS('Alle items'!$C:$C,O$7,'Alle items'!$G:$G,"&gt;"&amp;$I7,'Alle items'!$G:$G,"&lt;="&amp;$I8)</f>
        <v>0</v>
      </c>
      <c r="P8" s="11">
        <f>COUNTIFS('Alle items'!$C:$C,P$7,'Alle items'!$G:$G,"&gt;"&amp;$I7,'Alle items'!$G:$G,"&lt;="&amp;$I8)</f>
        <v>9</v>
      </c>
      <c r="Q8">
        <f>SUM(J8:P8)</f>
        <v>62</v>
      </c>
      <c r="T8" t="s">
        <v>698</v>
      </c>
    </row>
    <row r="9" spans="1:24" x14ac:dyDescent="0.25">
      <c r="A9" s="5" t="s">
        <v>11</v>
      </c>
      <c r="B9" s="5">
        <f>COUNTIF('Alle items'!$C$2:$C$216,$A9)</f>
        <v>12</v>
      </c>
      <c r="C9" s="6">
        <f>IFERROR(_xlfn.MINIFS('Alle items'!$G$2:$G$216,'Alle items'!$C$2:$C$216,$A9),"")</f>
        <v>1</v>
      </c>
      <c r="D9" s="6">
        <f>IFERROR(_xlfn.MAXIFS('Alle items'!$G$2:$G$216,'Alle items'!$C$2:$C$216,$A9),"")</f>
        <v>20</v>
      </c>
      <c r="E9" s="6">
        <f>IFERROR(AVERAGEIF('Alle items'!$C$2:$C$216,$A9,'Alle items'!$G$2:$G$216),"")</f>
        <v>8.1</v>
      </c>
      <c r="H9" t="s">
        <v>692</v>
      </c>
      <c r="I9">
        <v>10</v>
      </c>
      <c r="J9" s="11">
        <f>COUNTIFS('Alle items'!$C:$C,J$7,'Alle items'!$G:$G,"&gt;"&amp;$I8,'Alle items'!$G:$G,"&lt;="&amp;$I9)</f>
        <v>13</v>
      </c>
      <c r="K9" s="11">
        <f>COUNTIFS('Alle items'!$C:$C,K$7,'Alle items'!$G:$G,"&gt;"&amp;$I8,'Alle items'!$G:$G,"&lt;="&amp;$I9)</f>
        <v>1</v>
      </c>
      <c r="L9" s="11">
        <f>COUNTIFS('Alle items'!$C:$C,L$7,'Alle items'!$G:$G,"&gt;"&amp;$I8,'Alle items'!$G:$G,"&lt;="&amp;$I9)</f>
        <v>8</v>
      </c>
      <c r="M9" s="11">
        <f>COUNTIFS('Alle items'!$C:$C,M$7,'Alle items'!$G:$G,"&gt;"&amp;$I8,'Alle items'!$G:$G,"&lt;="&amp;$I9)</f>
        <v>9</v>
      </c>
      <c r="N9" s="11">
        <f>COUNTIFS('Alle items'!$C:$C,N$7,'Alle items'!$G:$G,"&gt;"&amp;$I8,'Alle items'!$G:$G,"&lt;="&amp;$I9)</f>
        <v>4</v>
      </c>
      <c r="O9" s="11">
        <f>COUNTIFS('Alle items'!$C:$C,O$7,'Alle items'!$G:$G,"&gt;"&amp;$I8,'Alle items'!$G:$G,"&lt;="&amp;$I9)</f>
        <v>0</v>
      </c>
      <c r="P9" s="11">
        <f>COUNTIFS('Alle items'!$C:$C,P$7,'Alle items'!$G:$G,"&gt;"&amp;$I8,'Alle items'!$G:$G,"&lt;="&amp;$I9)</f>
        <v>10</v>
      </c>
      <c r="Q9">
        <f>SUM(J9:P9)</f>
        <v>45</v>
      </c>
      <c r="T9" t="s">
        <v>691</v>
      </c>
      <c r="U9">
        <v>100</v>
      </c>
      <c r="V9">
        <f>$U$13/U9</f>
        <v>2000</v>
      </c>
      <c r="W9" t="s">
        <v>691</v>
      </c>
      <c r="X9">
        <f>100-SUM(X10:X13)</f>
        <v>54</v>
      </c>
    </row>
    <row r="10" spans="1:24" x14ac:dyDescent="0.25">
      <c r="A10" s="5" t="s">
        <v>12</v>
      </c>
      <c r="B10" s="5">
        <f>COUNTIF('Alle items'!$C$2:$C$216,$A10)</f>
        <v>13</v>
      </c>
      <c r="C10" s="6">
        <f>IFERROR(_xlfn.MINIFS('Alle items'!$G$2:$G$216,'Alle items'!$C$2:$C$216,$A10),"")</f>
        <v>150</v>
      </c>
      <c r="D10" s="6">
        <f>IFERROR(_xlfn.MAXIFS('Alle items'!$G$2:$G$216,'Alle items'!$C$2:$C$216,$A10),"")</f>
        <v>2000</v>
      </c>
      <c r="E10" s="6">
        <f>IFERROR(AVERAGEIF('Alle items'!$C$2:$C$216,$A10,'Alle items'!$G$2:$G$216),"")</f>
        <v>596.15384615384619</v>
      </c>
      <c r="H10" t="s">
        <v>693</v>
      </c>
      <c r="I10">
        <v>40</v>
      </c>
      <c r="J10" s="11">
        <f>COUNTIFS('Alle items'!$C:$C,J$7,'Alle items'!$G:$G,"&gt;"&amp;$I9,'Alle items'!$G:$G,"&lt;="&amp;$I10)</f>
        <v>7</v>
      </c>
      <c r="K10" s="11">
        <f>COUNTIFS('Alle items'!$C:$C,K$7,'Alle items'!$G:$G,"&gt;"&amp;$I9,'Alle items'!$G:$G,"&lt;="&amp;$I10)</f>
        <v>0</v>
      </c>
      <c r="L10" s="11">
        <f>COUNTIFS('Alle items'!$C:$C,L$7,'Alle items'!$G:$G,"&gt;"&amp;$I9,'Alle items'!$G:$G,"&lt;="&amp;$I10)</f>
        <v>1</v>
      </c>
      <c r="M10" s="11">
        <f>COUNTIFS('Alle items'!$C:$C,M$7,'Alle items'!$G:$G,"&gt;"&amp;$I9,'Alle items'!$G:$G,"&lt;="&amp;$I10)</f>
        <v>10</v>
      </c>
      <c r="N10" s="11">
        <f>COUNTIFS('Alle items'!$C:$C,N$7,'Alle items'!$G:$G,"&gt;"&amp;$I9,'Alle items'!$G:$G,"&lt;="&amp;$I10)</f>
        <v>1</v>
      </c>
      <c r="O10" s="11">
        <f>COUNTIFS('Alle items'!$C:$C,O$7,'Alle items'!$G:$G,"&gt;"&amp;$I9,'Alle items'!$G:$G,"&lt;="&amp;$I10)</f>
        <v>0</v>
      </c>
      <c r="P10" s="11">
        <f>COUNTIFS('Alle items'!$C:$C,P$7,'Alle items'!$G:$G,"&gt;"&amp;$I9,'Alle items'!$G:$G,"&lt;="&amp;$I10)</f>
        <v>14</v>
      </c>
      <c r="Q10">
        <f>SUM(J10:P10)</f>
        <v>33</v>
      </c>
      <c r="T10" t="s">
        <v>692</v>
      </c>
      <c r="U10">
        <v>400</v>
      </c>
      <c r="V10">
        <f t="shared" ref="V10:V13" si="0">$U$13/U10</f>
        <v>500</v>
      </c>
      <c r="W10" t="s">
        <v>692</v>
      </c>
      <c r="X10">
        <v>25</v>
      </c>
    </row>
    <row r="11" spans="1:24" x14ac:dyDescent="0.25">
      <c r="A11" s="5" t="s">
        <v>13</v>
      </c>
      <c r="B11" s="5">
        <f>COUNTIF('Alle items'!$C$2:$C$216,$A11)</f>
        <v>11</v>
      </c>
      <c r="C11" s="6">
        <f>IFERROR(_xlfn.MINIFS('Alle items'!$G$2:$G$216,'Alle items'!$C$2:$C$216,$A11),"")</f>
        <v>15</v>
      </c>
      <c r="D11" s="6">
        <f>IFERROR(_xlfn.MAXIFS('Alle items'!$G$2:$G$216,'Alle items'!$C$2:$C$216,$A11),"")</f>
        <v>250</v>
      </c>
      <c r="E11" s="6">
        <f>IFERROR(AVERAGEIF('Alle items'!$C$2:$C$216,$A11,'Alle items'!$G$2:$G$216),"")</f>
        <v>84</v>
      </c>
      <c r="H11" t="s">
        <v>694</v>
      </c>
      <c r="I11">
        <v>250</v>
      </c>
      <c r="J11" s="11">
        <f>COUNTIFS('Alle items'!$C:$C,J$7,'Alle items'!$G:$G,"&gt;"&amp;$I10,'Alle items'!$G:$G,"&lt;="&amp;$I11)</f>
        <v>5</v>
      </c>
      <c r="K11" s="11">
        <f>COUNTIFS('Alle items'!$C:$C,K$7,'Alle items'!$G:$G,"&gt;"&amp;$I10,'Alle items'!$G:$G,"&lt;="&amp;$I11)</f>
        <v>0</v>
      </c>
      <c r="L11" s="11">
        <f>COUNTIFS('Alle items'!$C:$C,L$7,'Alle items'!$G:$G,"&gt;"&amp;$I10,'Alle items'!$G:$G,"&lt;="&amp;$I11)</f>
        <v>0</v>
      </c>
      <c r="M11" s="11">
        <f>COUNTIFS('Alle items'!$C:$C,M$7,'Alle items'!$G:$G,"&gt;"&amp;$I10,'Alle items'!$G:$G,"&lt;="&amp;$I11)</f>
        <v>5</v>
      </c>
      <c r="N11" s="11">
        <f>COUNTIFS('Alle items'!$C:$C,N$7,'Alle items'!$G:$G,"&gt;"&amp;$I10,'Alle items'!$G:$G,"&lt;="&amp;$I11)</f>
        <v>6</v>
      </c>
      <c r="O11" s="11">
        <f>COUNTIFS('Alle items'!$C:$C,O$7,'Alle items'!$G:$G,"&gt;"&amp;$I10,'Alle items'!$G:$G,"&lt;="&amp;$I11)</f>
        <v>6</v>
      </c>
      <c r="P11" s="11">
        <f>COUNTIFS('Alle items'!$C:$C,P$7,'Alle items'!$G:$G,"&gt;"&amp;$I10,'Alle items'!$G:$G,"&lt;="&amp;$I11)</f>
        <v>2</v>
      </c>
      <c r="Q11">
        <f>SUM(J11:P11)</f>
        <v>24</v>
      </c>
      <c r="T11" t="s">
        <v>693</v>
      </c>
      <c r="U11">
        <v>4000</v>
      </c>
      <c r="V11">
        <f t="shared" si="0"/>
        <v>50</v>
      </c>
      <c r="W11" t="s">
        <v>693</v>
      </c>
      <c r="X11">
        <v>15</v>
      </c>
    </row>
    <row r="12" spans="1:24" x14ac:dyDescent="0.25">
      <c r="A12" s="5" t="s">
        <v>14</v>
      </c>
      <c r="B12" s="5">
        <f>COUNTIF('Alle items'!$C$2:$C$216,$A12)</f>
        <v>7</v>
      </c>
      <c r="C12" s="6">
        <f>IFERROR(_xlfn.MINIFS('Alle items'!$G$2:$G$216,'Alle items'!$C$2:$C$216,$A12),"")</f>
        <v>10</v>
      </c>
      <c r="D12" s="6">
        <f>IFERROR(_xlfn.MAXIFS('Alle items'!$G$2:$G$216,'Alle items'!$C$2:$C$216,$A12),"")</f>
        <v>40</v>
      </c>
      <c r="E12" s="6">
        <f>IFERROR(AVERAGEIF('Alle items'!$C$2:$C$216,$A12,'Alle items'!$G$2:$G$216),"")</f>
        <v>27.142857142857142</v>
      </c>
      <c r="H12" t="s">
        <v>695</v>
      </c>
      <c r="I12">
        <v>2500</v>
      </c>
      <c r="J12" s="11">
        <f>COUNTIFS('Alle items'!$C:$C,J$7,'Alle items'!$G:$G,"&gt;"&amp;$I11)</f>
        <v>1</v>
      </c>
      <c r="K12" s="11">
        <f>COUNTIFS('Alle items'!$C:$C,K$7,'Alle items'!$G:$G,"&gt;"&amp;$I11)</f>
        <v>0</v>
      </c>
      <c r="L12" s="11">
        <f>COUNTIFS('Alle items'!$C:$C,L$7,'Alle items'!$G:$G,"&gt;"&amp;$I11)</f>
        <v>0</v>
      </c>
      <c r="M12" s="11">
        <f>COUNTIFS('Alle items'!$C:$C,M$7,'Alle items'!$G:$G,"&gt;"&amp;$I11)</f>
        <v>1</v>
      </c>
      <c r="N12" s="11">
        <f>COUNTIFS('Alle items'!$C:$C,N$7,'Alle items'!$G:$G,"&gt;"&amp;$I11)</f>
        <v>3</v>
      </c>
      <c r="O12" s="11">
        <f>COUNTIFS('Alle items'!$C:$C,O$7,'Alle items'!$G:$G,"&gt;"&amp;$I11)</f>
        <v>7</v>
      </c>
      <c r="P12" s="11">
        <f>COUNTIFS('Alle items'!$C:$C,P$7,'Alle items'!$G:$G,"&gt;"&amp;$I11)</f>
        <v>0</v>
      </c>
      <c r="Q12">
        <f>SUM(J12:P12)</f>
        <v>12</v>
      </c>
      <c r="T12" t="s">
        <v>694</v>
      </c>
      <c r="U12">
        <v>40000</v>
      </c>
      <c r="V12">
        <f t="shared" si="0"/>
        <v>5</v>
      </c>
      <c r="W12" t="s">
        <v>694</v>
      </c>
      <c r="X12">
        <v>5</v>
      </c>
    </row>
    <row r="13" spans="1:24" x14ac:dyDescent="0.25">
      <c r="A13" s="5" t="s">
        <v>15</v>
      </c>
      <c r="B13" s="5">
        <f>COUNTIF('Alle items'!$C$2:$C$216,$A13)</f>
        <v>8</v>
      </c>
      <c r="C13" s="6">
        <f>IFERROR(_xlfn.MINIFS('Alle items'!$G$2:$G$216,'Alle items'!$C$2:$C$216,$A13),"")</f>
        <v>8</v>
      </c>
      <c r="D13" s="6">
        <f>IFERROR(_xlfn.MAXIFS('Alle items'!$G$2:$G$216,'Alle items'!$C$2:$C$216,$A13),"")</f>
        <v>400</v>
      </c>
      <c r="E13" s="6">
        <f>IFERROR(AVERAGEIF('Alle items'!$C$2:$C$216,$A13,'Alle items'!$G$2:$G$216),"")</f>
        <v>104.75</v>
      </c>
      <c r="T13" t="s">
        <v>695</v>
      </c>
      <c r="U13">
        <v>200000</v>
      </c>
      <c r="V13">
        <f t="shared" si="0"/>
        <v>1</v>
      </c>
      <c r="W13" t="s">
        <v>695</v>
      </c>
      <c r="X13">
        <v>1</v>
      </c>
    </row>
    <row r="14" spans="1:24" x14ac:dyDescent="0.25">
      <c r="A14" s="5" t="s">
        <v>16</v>
      </c>
      <c r="B14" s="5">
        <f>COUNTIF('Alle items'!$C$2:$C$216,$A14)</f>
        <v>14</v>
      </c>
      <c r="C14" s="6">
        <f>IFERROR(_xlfn.MINIFS('Alle items'!$G$2:$G$216,'Alle items'!$C$2:$C$216,$A14),"")</f>
        <v>5</v>
      </c>
      <c r="D14" s="6">
        <f>IFERROR(_xlfn.MAXIFS('Alle items'!$G$2:$G$216,'Alle items'!$C$2:$C$216,$A14),"")</f>
        <v>1500</v>
      </c>
      <c r="E14" s="6">
        <f>IFERROR(AVERAGEIF('Alle items'!$C$2:$C$216,$A14,'Alle items'!$G$2:$G$216),"")</f>
        <v>229.28571428571428</v>
      </c>
      <c r="T14" t="s">
        <v>696</v>
      </c>
      <c r="U14" t="s">
        <v>697</v>
      </c>
    </row>
    <row r="15" spans="1:24" x14ac:dyDescent="0.25">
      <c r="A15" s="5" t="s">
        <v>17</v>
      </c>
      <c r="B15" s="5">
        <f>COUNTIF('Alle items'!$C$2:$C$216,$A15)</f>
        <v>67</v>
      </c>
      <c r="C15" s="6">
        <f>IFERROR(_xlfn.MINIFS('Alle items'!$G$2:$G$216,'Alle items'!$C$2:$C$216,$A15),"")</f>
        <v>0.01</v>
      </c>
      <c r="D15" s="6">
        <f>IFERROR(_xlfn.MAXIFS('Alle items'!$G$2:$G$216,'Alle items'!$C$2:$C$216,$A15),"")</f>
        <v>1000</v>
      </c>
      <c r="E15" s="6">
        <f>IFERROR(AVERAGEIF('Alle items'!$C$2:$C$216,$A15,'Alle items'!$G$2:$G$216),"")</f>
        <v>28.798281250000002</v>
      </c>
    </row>
    <row r="16" spans="1:24" x14ac:dyDescent="0.25">
      <c r="A16" s="5" t="s">
        <v>18</v>
      </c>
      <c r="B16" s="5">
        <f>COUNTIF('Alle items'!$C$2:$C$216,$A16)</f>
        <v>44</v>
      </c>
      <c r="C16" s="6">
        <f>IFERROR(_xlfn.MINIFS('Alle items'!$G$2:$G$216,'Alle items'!$C$2:$C$216,$A16),"")</f>
        <v>0.05</v>
      </c>
      <c r="D16" s="6">
        <f>IFERROR(_xlfn.MAXIFS('Alle items'!$G$2:$G$216,'Alle items'!$C$2:$C$216,$A16),"")</f>
        <v>500</v>
      </c>
      <c r="E16" s="6">
        <f>IFERROR(AVERAGEIF('Alle items'!$C$2:$C$216,$A16,'Alle items'!$G$2:$G$216),"")</f>
        <v>34.193243243243238</v>
      </c>
    </row>
    <row r="17" spans="1:12" x14ac:dyDescent="0.25">
      <c r="A17" s="5" t="s">
        <v>19</v>
      </c>
      <c r="B17" s="5">
        <f>COUNTIF('Alle items'!$C$2:$C$216,$A17)</f>
        <v>35</v>
      </c>
      <c r="C17" s="6">
        <f>IFERROR(_xlfn.MINIFS('Alle items'!$G$2:$G$216,'Alle items'!$C$2:$C$216,$A17),"")</f>
        <v>0.1</v>
      </c>
      <c r="D17" s="6">
        <f>IFERROR(_xlfn.MAXIFS('Alle items'!$G$2:$G$216,'Alle items'!$C$2:$C$216,$A17),"")</f>
        <v>50</v>
      </c>
      <c r="E17" s="6">
        <f>IFERROR(AVERAGEIF('Alle items'!$C$2:$C$216,$A17,'Alle items'!$G$2:$G$216),"")</f>
        <v>14.674285714285714</v>
      </c>
    </row>
    <row r="18" spans="1:12" x14ac:dyDescent="0.25">
      <c r="A18" s="7" t="s">
        <v>20</v>
      </c>
      <c r="B18" s="7">
        <f>COUNTA('Alle items'!$A$2:$A$216)</f>
        <v>215</v>
      </c>
    </row>
    <row r="21" spans="1:12" x14ac:dyDescent="0.25">
      <c r="A21" s="3" t="s">
        <v>21</v>
      </c>
    </row>
    <row r="22" spans="1:12" x14ac:dyDescent="0.25">
      <c r="A22" s="4" t="s">
        <v>22</v>
      </c>
      <c r="B22" s="4" t="s">
        <v>6</v>
      </c>
    </row>
    <row r="23" spans="1:12" x14ac:dyDescent="0.25">
      <c r="A23" s="5" t="s">
        <v>23</v>
      </c>
      <c r="B23" s="5">
        <f>COUNTIF('Alle items'!$D$2:$D$216,$A23)</f>
        <v>50</v>
      </c>
    </row>
    <row r="24" spans="1:12" x14ac:dyDescent="0.25">
      <c r="A24" s="5" t="s">
        <v>24</v>
      </c>
      <c r="B24" s="5">
        <f>COUNTIF('Alle items'!$D$2:$D$216,$A24)</f>
        <v>27</v>
      </c>
    </row>
    <row r="25" spans="1:12" x14ac:dyDescent="0.25">
      <c r="A25" s="5" t="s">
        <v>25</v>
      </c>
      <c r="B25" s="5">
        <f>COUNTIF('Alle items'!$D$2:$D$216,$A25)</f>
        <v>138</v>
      </c>
    </row>
    <row r="27" spans="1:12" x14ac:dyDescent="0.25">
      <c r="J27" s="12" t="s">
        <v>15</v>
      </c>
      <c r="K27" s="12" t="s">
        <v>13</v>
      </c>
      <c r="L27" s="12" t="s">
        <v>14</v>
      </c>
    </row>
    <row r="28" spans="1:12" x14ac:dyDescent="0.25">
      <c r="J28" s="11">
        <f>COUNTIFS('Alle items'!$C:$C,J$27,'Alle items'!$G:$G,"&gt;"&amp;$I7,'Alle items'!$G:$G,"&lt;="&amp;$I8)</f>
        <v>0</v>
      </c>
      <c r="K28" s="11">
        <f>COUNTIFS('Alle items'!$C:$C,K$27,'Alle items'!$G:$G,"&gt;"&amp;$I7,'Alle items'!$G:$G,"&lt;="&amp;$I8)</f>
        <v>0</v>
      </c>
      <c r="L28" s="11">
        <f>COUNTIFS('Alle items'!$C:$C,L$27,'Alle items'!$G:$G,"&gt;"&amp;$I7,'Alle items'!$G:$G,"&lt;="&amp;$I8)</f>
        <v>0</v>
      </c>
    </row>
    <row r="29" spans="1:12" x14ac:dyDescent="0.25">
      <c r="A29" s="3" t="s">
        <v>26</v>
      </c>
      <c r="J29" s="11">
        <f>COUNTIFS('Alle items'!$C:$C,J$27,'Alle items'!$G:$G,"&gt;"&amp;$I8,'Alle items'!$G:$G,"&lt;="&amp;$I9)</f>
        <v>1</v>
      </c>
      <c r="K29" s="11">
        <f>COUNTIFS('Alle items'!$C:$C,K$27,'Alle items'!$G:$G,"&gt;"&amp;$I8,'Alle items'!$G:$G,"&lt;="&amp;$I9)</f>
        <v>0</v>
      </c>
      <c r="L29" s="11">
        <f>COUNTIFS('Alle items'!$C:$C,L$27,'Alle items'!$G:$G,"&gt;"&amp;$I8,'Alle items'!$G:$G,"&lt;="&amp;$I9)</f>
        <v>1</v>
      </c>
    </row>
    <row r="30" spans="1:12" x14ac:dyDescent="0.25">
      <c r="A30" s="4" t="s">
        <v>27</v>
      </c>
      <c r="B30" s="4" t="s">
        <v>28</v>
      </c>
      <c r="J30" s="11">
        <f>COUNTIFS('Alle items'!$C:$C,J$27,'Alle items'!$G:$G,"&gt;"&amp;$I9,'Alle items'!$G:$G,"&lt;="&amp;$I10)</f>
        <v>2</v>
      </c>
      <c r="K30" s="11">
        <f>COUNTIFS('Alle items'!$C:$C,K$27,'Alle items'!$G:$G,"&gt;"&amp;$I9,'Alle items'!$G:$G,"&lt;="&amp;$I10)</f>
        <v>3</v>
      </c>
      <c r="L30" s="11">
        <f>COUNTIFS('Alle items'!$C:$C,L$27,'Alle items'!$G:$G,"&gt;"&amp;$I9,'Alle items'!$G:$G,"&lt;="&amp;$I10)</f>
        <v>6</v>
      </c>
    </row>
    <row r="31" spans="1:12" x14ac:dyDescent="0.25">
      <c r="A31" s="5" t="s">
        <v>29</v>
      </c>
      <c r="B31" s="5">
        <f>COUNTIF('Alle items'!$M$2:$M$216,$A31)</f>
        <v>2</v>
      </c>
      <c r="J31" s="11">
        <f>COUNTIFS('Alle items'!$C:$C,J$27,'Alle items'!$G:$G,"&gt;"&amp;$I10,'Alle items'!$G:$G,"&lt;="&amp;$I11)</f>
        <v>4</v>
      </c>
      <c r="K31" s="11">
        <f>COUNTIFS('Alle items'!$C:$C,K$27,'Alle items'!$G:$G,"&gt;"&amp;$I10,'Alle items'!$G:$G,"&lt;="&amp;$I11)</f>
        <v>2</v>
      </c>
      <c r="L31" s="11">
        <f>COUNTIFS('Alle items'!$C:$C,L$27,'Alle items'!$G:$G,"&gt;"&amp;$I10,'Alle items'!$G:$G,"&lt;="&amp;$I11)</f>
        <v>0</v>
      </c>
    </row>
    <row r="32" spans="1:12" x14ac:dyDescent="0.25">
      <c r="A32" s="5" t="s">
        <v>30</v>
      </c>
      <c r="B32" s="5">
        <f>COUNTIF('Alle items'!$M$2:$M$216,$A32)</f>
        <v>2</v>
      </c>
      <c r="J32" s="11">
        <f>COUNTIFS('Alle items'!$C:$C,J$27,'Alle items'!$G:$G,"&gt;"&amp;$I11)</f>
        <v>1</v>
      </c>
      <c r="K32" s="11">
        <f>COUNTIFS('Alle items'!$C:$C,K$27,'Alle items'!$G:$G,"&gt;"&amp;$I11)</f>
        <v>0</v>
      </c>
      <c r="L32" s="11">
        <f>COUNTIFS('Alle items'!$C:$C,L$27,'Alle items'!$G:$G,"&gt;"&amp;$I11)</f>
        <v>0</v>
      </c>
    </row>
    <row r="33" spans="1:2" x14ac:dyDescent="0.25">
      <c r="A33" s="5" t="s">
        <v>31</v>
      </c>
      <c r="B33" s="5">
        <f>COUNTIF('Alle items'!$M$2:$M$216,$A33)</f>
        <v>4</v>
      </c>
    </row>
    <row r="34" spans="1:2" x14ac:dyDescent="0.25">
      <c r="A34" s="5" t="s">
        <v>32</v>
      </c>
      <c r="B34" s="5">
        <f>COUNTIF('Alle items'!$M$2:$M$216,$A34)</f>
        <v>5</v>
      </c>
    </row>
    <row r="35" spans="1:2" x14ac:dyDescent="0.25">
      <c r="A35" s="5" t="s">
        <v>33</v>
      </c>
      <c r="B35" s="5">
        <f>COUNTIF('Alle items'!$M$2:$M$216,$A35)</f>
        <v>7</v>
      </c>
    </row>
    <row r="36" spans="1:2" x14ac:dyDescent="0.25">
      <c r="A36" s="5" t="s">
        <v>34</v>
      </c>
      <c r="B36" s="5">
        <f>COUNTIF('Alle items'!$M$2:$M$216,$A36)</f>
        <v>10</v>
      </c>
    </row>
    <row r="37" spans="1:2" x14ac:dyDescent="0.25">
      <c r="A37" s="5" t="s">
        <v>35</v>
      </c>
      <c r="B37" s="5">
        <f>COUNTIF('Alle items'!$M$2:$M$216,$A37)</f>
        <v>4</v>
      </c>
    </row>
    <row r="38" spans="1:2" x14ac:dyDescent="0.25">
      <c r="A38" s="5" t="s">
        <v>36</v>
      </c>
      <c r="B38" s="5">
        <f>COUNTIF('Alle items'!$M$2:$M$216,$A38)</f>
        <v>9</v>
      </c>
    </row>
    <row r="42" spans="1:2" x14ac:dyDescent="0.25">
      <c r="A42" s="3" t="s">
        <v>37</v>
      </c>
    </row>
    <row r="43" spans="1:2" x14ac:dyDescent="0.25">
      <c r="A43" s="4" t="s">
        <v>38</v>
      </c>
      <c r="B43" s="4" t="s">
        <v>6</v>
      </c>
    </row>
    <row r="44" spans="1:2" x14ac:dyDescent="0.25">
      <c r="A44" s="5" t="s">
        <v>39</v>
      </c>
      <c r="B44" s="5">
        <f>SUMPRODUCT(--ISNUMBER(SEARCH($A44,'Alle items'!$Q$2:$Q$216)))</f>
        <v>51</v>
      </c>
    </row>
    <row r="45" spans="1:2" x14ac:dyDescent="0.25">
      <c r="A45" s="5" t="s">
        <v>40</v>
      </c>
      <c r="B45" s="5">
        <f>SUMPRODUCT(--ISNUMBER(SEARCH($A45,'Alle items'!$Q$2:$Q$216)))</f>
        <v>5</v>
      </c>
    </row>
    <row r="46" spans="1:2" x14ac:dyDescent="0.25">
      <c r="A46" s="5" t="s">
        <v>41</v>
      </c>
      <c r="B46" s="5">
        <f>SUMPRODUCT(--ISNUMBER(SEARCH($A46,'Alle items'!$Q$2:$Q$216)))</f>
        <v>7</v>
      </c>
    </row>
    <row r="47" spans="1:2" x14ac:dyDescent="0.25">
      <c r="A47" s="5" t="s">
        <v>42</v>
      </c>
      <c r="B47" s="5">
        <f>SUMPRODUCT(--ISNUMBER(SEARCH($A47,'Alle items'!$Q$2:$Q$216)))</f>
        <v>21</v>
      </c>
    </row>
    <row r="48" spans="1:2" x14ac:dyDescent="0.25">
      <c r="A48" s="5" t="s">
        <v>43</v>
      </c>
      <c r="B48" s="5">
        <f>SUMPRODUCT(--ISNUMBER(SEARCH($A48,'Alle items'!$Q$2:$Q$216)))</f>
        <v>7</v>
      </c>
    </row>
    <row r="49" spans="1:2" x14ac:dyDescent="0.25">
      <c r="A49" s="5" t="s">
        <v>44</v>
      </c>
      <c r="B49" s="5">
        <f>SUMPRODUCT(--ISNUMBER(SEARCH($A49,'Alle items'!$Q$2:$Q$216)))</f>
        <v>51</v>
      </c>
    </row>
    <row r="50" spans="1:2" x14ac:dyDescent="0.25">
      <c r="A50" s="5" t="s">
        <v>45</v>
      </c>
      <c r="B50" s="5">
        <f>SUMPRODUCT(--ISNUMBER(SEARCH($A50,'Alle items'!$Q$2:$Q$216)))</f>
        <v>4</v>
      </c>
    </row>
    <row r="51" spans="1:2" x14ac:dyDescent="0.25">
      <c r="A51" s="5" t="s">
        <v>46</v>
      </c>
      <c r="B51" s="5">
        <f>SUMPRODUCT(--ISNUMBER(SEARCH($A51,'Alle items'!$Q$2:$Q$216)))</f>
        <v>1</v>
      </c>
    </row>
    <row r="52" spans="1:2" x14ac:dyDescent="0.25">
      <c r="A52" s="5" t="s">
        <v>47</v>
      </c>
      <c r="B52" s="5">
        <f>SUMPRODUCT(--ISNUMBER(SEARCH($A52,'Alle items'!$Q$2:$Q$216)))</f>
        <v>42</v>
      </c>
    </row>
    <row r="53" spans="1:2" x14ac:dyDescent="0.25">
      <c r="A53" s="5" t="s">
        <v>48</v>
      </c>
      <c r="B53" s="5">
        <f>SUMPRODUCT(--ISNUMBER(SEARCH($A53,'Alle items'!$Q$2:$Q$216)))</f>
        <v>7</v>
      </c>
    </row>
    <row r="54" spans="1:2" x14ac:dyDescent="0.25">
      <c r="A54" s="5" t="s">
        <v>49</v>
      </c>
      <c r="B54" s="5">
        <f>SUMPRODUCT(--ISNUMBER(SEARCH($A54,'Alle items'!$Q$2:$Q$216)))</f>
        <v>2</v>
      </c>
    </row>
    <row r="55" spans="1:2" x14ac:dyDescent="0.25">
      <c r="A55" s="5" t="s">
        <v>50</v>
      </c>
      <c r="B55" s="5">
        <f>SUMPRODUCT(--ISNUMBER(SEARCH($A55,'Alle items'!$Q$2:$Q$216)))</f>
        <v>9</v>
      </c>
    </row>
    <row r="56" spans="1:2" x14ac:dyDescent="0.25">
      <c r="A56" s="5" t="s">
        <v>51</v>
      </c>
      <c r="B56" s="5">
        <f>SUMPRODUCT(--ISNUMBER(SEARCH($A56,'Alle items'!$Q$2:$Q$216)))</f>
        <v>21</v>
      </c>
    </row>
    <row r="57" spans="1:2" x14ac:dyDescent="0.25">
      <c r="A57" s="5" t="s">
        <v>52</v>
      </c>
      <c r="B57" s="5">
        <f>SUMPRODUCT(--ISNUMBER(SEARCH($A57,'Alle items'!$Q$2:$Q$216)))</f>
        <v>6</v>
      </c>
    </row>
    <row r="58" spans="1:2" x14ac:dyDescent="0.25">
      <c r="A58" s="5" t="s">
        <v>53</v>
      </c>
      <c r="B58" s="5">
        <f>SUMPRODUCT(--ISNUMBER(SEARCH($A58,'Alle items'!$Q$2:$Q$216)))</f>
        <v>21</v>
      </c>
    </row>
    <row r="59" spans="1:2" x14ac:dyDescent="0.25">
      <c r="A59" s="5" t="s">
        <v>54</v>
      </c>
      <c r="B59" s="5">
        <f>SUMPRODUCT(--ISNUMBER(SEARCH($A59,'Alle items'!$Q$2:$Q$216)))</f>
        <v>97</v>
      </c>
    </row>
    <row r="60" spans="1:2" x14ac:dyDescent="0.25">
      <c r="A60" s="5" t="s">
        <v>55</v>
      </c>
      <c r="B60" s="5">
        <f>SUMPRODUCT(--ISNUMBER(SEARCH($A60,'Alle items'!$Q$2:$Q$216)))</f>
        <v>15</v>
      </c>
    </row>
  </sheetData>
  <pageMargins left="0.75" right="0.75" top="1" bottom="1" header="0.511811023622047" footer="0.511811023622047"/>
  <pageSetup paperSize="9" orientation="portrait" horizontalDpi="300" verticalDpi="300"/>
  <headerFooter>
    <oddFooter>&amp;L_x000D_&amp;1#&amp;"Arial"&amp;8&amp;K737373 Classified by Alfa Laval as: Business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6"/>
  <sheetViews>
    <sheetView tabSelected="1" zoomScaleNormal="100" workbookViewId="0">
      <pane xSplit="1" ySplit="1" topLeftCell="B137" activePane="bottomRight" state="frozen"/>
      <selection pane="topRight" activeCell="B1" sqref="B1"/>
      <selection pane="bottomLeft" activeCell="A2" sqref="A2"/>
      <selection pane="bottomRight" activeCell="E178" sqref="E178"/>
    </sheetView>
  </sheetViews>
  <sheetFormatPr defaultColWidth="8.7109375" defaultRowHeight="15" x14ac:dyDescent="0.25"/>
  <cols>
    <col min="1" max="1" width="24" customWidth="1"/>
    <col min="2" max="2" width="22" customWidth="1"/>
    <col min="3" max="3" width="12" customWidth="1"/>
    <col min="4" max="5" width="24" customWidth="1"/>
    <col min="6" max="9" width="11" customWidth="1"/>
    <col min="10" max="10" width="9" customWidth="1"/>
    <col min="11" max="11" width="13" customWidth="1"/>
    <col min="12" max="12" width="44" customWidth="1"/>
    <col min="13" max="13" width="10" customWidth="1"/>
    <col min="14" max="14" width="24" customWidth="1"/>
    <col min="15" max="15" width="11" customWidth="1"/>
    <col min="16" max="16" width="13" customWidth="1"/>
    <col min="17" max="17" width="34" customWidth="1"/>
    <col min="18" max="18" width="18" customWidth="1"/>
    <col min="19" max="19" width="90" customWidth="1"/>
  </cols>
  <sheetData>
    <row r="1" spans="1:19" x14ac:dyDescent="0.25">
      <c r="A1" s="8" t="s">
        <v>56</v>
      </c>
      <c r="B1" s="8" t="s">
        <v>57</v>
      </c>
      <c r="C1" s="8" t="s">
        <v>5</v>
      </c>
      <c r="D1" s="8" t="s">
        <v>22</v>
      </c>
      <c r="E1" s="8" t="s">
        <v>690</v>
      </c>
      <c r="F1" s="8" t="s">
        <v>58</v>
      </c>
      <c r="G1" s="8" t="s">
        <v>59</v>
      </c>
      <c r="H1" s="8" t="s">
        <v>60</v>
      </c>
      <c r="I1" s="8" t="s">
        <v>61</v>
      </c>
      <c r="J1" s="8" t="s">
        <v>62</v>
      </c>
      <c r="K1" s="8" t="s">
        <v>63</v>
      </c>
      <c r="L1" s="8" t="s">
        <v>64</v>
      </c>
      <c r="M1" s="8" t="s">
        <v>27</v>
      </c>
      <c r="N1" s="8" t="s">
        <v>65</v>
      </c>
      <c r="O1" s="8" t="s">
        <v>66</v>
      </c>
      <c r="P1" s="8" t="s">
        <v>67</v>
      </c>
      <c r="Q1" s="8" t="s">
        <v>68</v>
      </c>
      <c r="R1" s="8" t="s">
        <v>69</v>
      </c>
      <c r="S1" s="8" t="s">
        <v>70</v>
      </c>
    </row>
    <row r="2" spans="1:19" x14ac:dyDescent="0.25">
      <c r="A2" s="9" t="s">
        <v>122</v>
      </c>
      <c r="B2" s="9" t="s">
        <v>72</v>
      </c>
      <c r="C2" s="9" t="s">
        <v>17</v>
      </c>
      <c r="D2" s="9" t="s">
        <v>25</v>
      </c>
      <c r="E2" s="9" t="str">
        <f>IF(G2&lt;Oversigt!$I$8,Oversigt!$H$8,IF(G2&lt;Oversigt!$I$9,Oversigt!$H$9,IF(G2&lt;Oversigt!$I$10,Oversigt!$H$10,IF(G2&lt;Oversigt!$I$11,Oversigt!$H$11,IF(G2&lt;Oversigt!$I$12,Oversigt!$H$12,Oversigt!$H$13)))))</f>
        <v>Common</v>
      </c>
      <c r="F2" s="9" t="s">
        <v>123</v>
      </c>
      <c r="G2" s="10">
        <v>0.01</v>
      </c>
      <c r="H2" s="9"/>
      <c r="I2" s="10"/>
      <c r="J2" s="9"/>
      <c r="K2" s="9"/>
      <c r="L2" s="9"/>
      <c r="M2" s="9"/>
      <c r="N2" s="9"/>
      <c r="O2" s="9"/>
      <c r="P2" s="9"/>
      <c r="Q2" s="9" t="s">
        <v>124</v>
      </c>
      <c r="R2" s="9"/>
      <c r="S2" s="9" t="s">
        <v>125</v>
      </c>
    </row>
    <row r="3" spans="1:19" x14ac:dyDescent="0.25">
      <c r="A3" s="9" t="s">
        <v>554</v>
      </c>
      <c r="B3" s="9" t="s">
        <v>72</v>
      </c>
      <c r="C3" s="9" t="s">
        <v>17</v>
      </c>
      <c r="D3" s="9" t="s">
        <v>25</v>
      </c>
      <c r="E3" s="9" t="str">
        <f>IF(G3&lt;Oversigt!$I$8,Oversigt!$H$8,IF(G3&lt;Oversigt!$I$9,Oversigt!$H$9,IF(G3&lt;Oversigt!$I$10,Oversigt!$H$10,IF(G3&lt;Oversigt!$I$11,Oversigt!$H$11,IF(G3&lt;Oversigt!$I$12,Oversigt!$H$12,Oversigt!$H$13)))))</f>
        <v>Common</v>
      </c>
      <c r="F3" s="9" t="s">
        <v>123</v>
      </c>
      <c r="G3" s="10">
        <v>0.01</v>
      </c>
      <c r="H3" s="9" t="s">
        <v>249</v>
      </c>
      <c r="I3" s="10">
        <v>0.5</v>
      </c>
      <c r="J3" s="9"/>
      <c r="K3" s="9"/>
      <c r="L3" s="9"/>
      <c r="M3" s="9"/>
      <c r="N3" s="9"/>
      <c r="O3" s="9"/>
      <c r="P3" s="9"/>
      <c r="Q3" s="9" t="s">
        <v>42</v>
      </c>
      <c r="R3" s="9"/>
      <c r="S3" s="9" t="s">
        <v>555</v>
      </c>
    </row>
    <row r="4" spans="1:19" x14ac:dyDescent="0.25">
      <c r="A4" s="9" t="s">
        <v>642</v>
      </c>
      <c r="B4" s="9" t="s">
        <v>72</v>
      </c>
      <c r="C4" s="9" t="s">
        <v>17</v>
      </c>
      <c r="D4" s="9" t="s">
        <v>25</v>
      </c>
      <c r="E4" s="9" t="str">
        <f>IF(G4&lt;Oversigt!$I$8,Oversigt!$H$8,IF(G4&lt;Oversigt!$I$9,Oversigt!$H$9,IF(G4&lt;Oversigt!$I$10,Oversigt!$H$10,IF(G4&lt;Oversigt!$I$11,Oversigt!$H$11,IF(G4&lt;Oversigt!$I$12,Oversigt!$H$12,Oversigt!$H$13)))))</f>
        <v>Common</v>
      </c>
      <c r="F4" s="9" t="s">
        <v>123</v>
      </c>
      <c r="G4" s="10">
        <v>0.01</v>
      </c>
      <c r="H4" s="9" t="s">
        <v>74</v>
      </c>
      <c r="I4" s="10">
        <v>1</v>
      </c>
      <c r="J4" s="9"/>
      <c r="K4" s="9"/>
      <c r="L4" s="9"/>
      <c r="M4" s="9"/>
      <c r="N4" s="9"/>
      <c r="O4" s="9"/>
      <c r="P4" s="9"/>
      <c r="Q4" s="9" t="s">
        <v>643</v>
      </c>
      <c r="R4" s="9"/>
      <c r="S4" s="9" t="s">
        <v>644</v>
      </c>
    </row>
    <row r="5" spans="1:19" x14ac:dyDescent="0.25">
      <c r="A5" s="9" t="s">
        <v>277</v>
      </c>
      <c r="B5" s="9" t="s">
        <v>72</v>
      </c>
      <c r="C5" s="9" t="s">
        <v>17</v>
      </c>
      <c r="D5" s="9" t="s">
        <v>25</v>
      </c>
      <c r="E5" s="9" t="str">
        <f>IF(G5&lt;Oversigt!$I$8,Oversigt!$H$8,IF(G5&lt;Oversigt!$I$9,Oversigt!$H$9,IF(G5&lt;Oversigt!$I$10,Oversigt!$H$10,IF(G5&lt;Oversigt!$I$11,Oversigt!$H$11,IF(G5&lt;Oversigt!$I$12,Oversigt!$H$12,Oversigt!$H$13)))))</f>
        <v>Common</v>
      </c>
      <c r="F5" s="9" t="s">
        <v>278</v>
      </c>
      <c r="G5" s="10">
        <v>0.02</v>
      </c>
      <c r="H5" s="9" t="s">
        <v>74</v>
      </c>
      <c r="I5" s="10">
        <v>1</v>
      </c>
      <c r="J5" s="9"/>
      <c r="K5" s="9"/>
      <c r="L5" s="9"/>
      <c r="M5" s="9"/>
      <c r="N5" s="9"/>
      <c r="O5" s="9"/>
      <c r="P5" s="9"/>
      <c r="Q5" s="9" t="s">
        <v>42</v>
      </c>
      <c r="R5" s="9"/>
      <c r="S5" s="9" t="s">
        <v>279</v>
      </c>
    </row>
    <row r="6" spans="1:19" x14ac:dyDescent="0.25">
      <c r="A6" s="9" t="s">
        <v>353</v>
      </c>
      <c r="B6" s="9" t="s">
        <v>72</v>
      </c>
      <c r="C6" s="9" t="s">
        <v>17</v>
      </c>
      <c r="D6" s="9" t="s">
        <v>25</v>
      </c>
      <c r="E6" s="9" t="str">
        <f>IF(G6&lt;Oversigt!$I$8,Oversigt!$H$8,IF(G6&lt;Oversigt!$I$9,Oversigt!$H$9,IF(G6&lt;Oversigt!$I$10,Oversigt!$H$10,IF(G6&lt;Oversigt!$I$11,Oversigt!$H$11,IF(G6&lt;Oversigt!$I$12,Oversigt!$H$12,Oversigt!$H$13)))))</f>
        <v>Common</v>
      </c>
      <c r="F6" s="9" t="s">
        <v>278</v>
      </c>
      <c r="G6" s="10">
        <v>0.02</v>
      </c>
      <c r="H6" s="9"/>
      <c r="I6" s="10"/>
      <c r="J6" s="9"/>
      <c r="K6" s="9"/>
      <c r="L6" s="9"/>
      <c r="M6" s="9"/>
      <c r="N6" s="9"/>
      <c r="O6" s="9"/>
      <c r="P6" s="9"/>
      <c r="Q6" s="9" t="s">
        <v>354</v>
      </c>
      <c r="R6" s="9"/>
      <c r="S6" s="9" t="s">
        <v>355</v>
      </c>
    </row>
    <row r="7" spans="1:19" x14ac:dyDescent="0.25">
      <c r="A7" s="9" t="s">
        <v>366</v>
      </c>
      <c r="B7" s="9" t="s">
        <v>72</v>
      </c>
      <c r="C7" s="9" t="s">
        <v>17</v>
      </c>
      <c r="D7" s="9" t="s">
        <v>25</v>
      </c>
      <c r="E7" s="9" t="str">
        <f>IF(G7&lt;Oversigt!$I$8,Oversigt!$H$8,IF(G7&lt;Oversigt!$I$9,Oversigt!$H$9,IF(G7&lt;Oversigt!$I$10,Oversigt!$H$10,IF(G7&lt;Oversigt!$I$11,Oversigt!$H$11,IF(G7&lt;Oversigt!$I$12,Oversigt!$H$12,Oversigt!$H$13)))))</f>
        <v>Common</v>
      </c>
      <c r="F7" s="9" t="s">
        <v>278</v>
      </c>
      <c r="G7" s="10">
        <v>0.02</v>
      </c>
      <c r="H7" s="9" t="s">
        <v>184</v>
      </c>
      <c r="I7" s="10">
        <v>4</v>
      </c>
      <c r="J7" s="9"/>
      <c r="K7" s="9"/>
      <c r="L7" s="9"/>
      <c r="M7" s="9"/>
      <c r="N7" s="9"/>
      <c r="O7" s="9"/>
      <c r="P7" s="9"/>
      <c r="Q7" s="9" t="s">
        <v>42</v>
      </c>
      <c r="R7" s="9"/>
      <c r="S7" s="9" t="s">
        <v>367</v>
      </c>
    </row>
    <row r="8" spans="1:19" x14ac:dyDescent="0.25">
      <c r="A8" s="9" t="s">
        <v>92</v>
      </c>
      <c r="B8" s="9" t="s">
        <v>72</v>
      </c>
      <c r="C8" s="9" t="s">
        <v>17</v>
      </c>
      <c r="D8" s="9" t="s">
        <v>25</v>
      </c>
      <c r="E8" s="9" t="str">
        <f>IF(G8&lt;Oversigt!$I$8,Oversigt!$H$8,IF(G8&lt;Oversigt!$I$9,Oversigt!$H$9,IF(G8&lt;Oversigt!$I$10,Oversigt!$H$10,IF(G8&lt;Oversigt!$I$11,Oversigt!$H$11,IF(G8&lt;Oversigt!$I$12,Oversigt!$H$12,Oversigt!$H$13)))))</f>
        <v>Common</v>
      </c>
      <c r="F8" s="9" t="s">
        <v>93</v>
      </c>
      <c r="G8" s="10">
        <v>0.05</v>
      </c>
      <c r="H8" s="9" t="s">
        <v>94</v>
      </c>
      <c r="I8" s="10">
        <v>2</v>
      </c>
      <c r="J8" s="9"/>
      <c r="K8" s="9"/>
      <c r="L8" s="9"/>
      <c r="M8" s="9"/>
      <c r="N8" s="9"/>
      <c r="O8" s="9"/>
      <c r="P8" s="9"/>
      <c r="Q8" s="9" t="s">
        <v>42</v>
      </c>
      <c r="R8" s="9"/>
      <c r="S8" s="9" t="s">
        <v>95</v>
      </c>
    </row>
    <row r="9" spans="1:19" x14ac:dyDescent="0.25">
      <c r="A9" s="9" t="s">
        <v>265</v>
      </c>
      <c r="B9" s="9" t="s">
        <v>72</v>
      </c>
      <c r="C9" s="9" t="s">
        <v>17</v>
      </c>
      <c r="D9" s="9" t="s">
        <v>25</v>
      </c>
      <c r="E9" s="9" t="str">
        <f>IF(G9&lt;Oversigt!$I$8,Oversigt!$H$8,IF(G9&lt;Oversigt!$I$9,Oversigt!$H$9,IF(G9&lt;Oversigt!$I$10,Oversigt!$H$10,IF(G9&lt;Oversigt!$I$11,Oversigt!$H$11,IF(G9&lt;Oversigt!$I$12,Oversigt!$H$12,Oversigt!$H$13)))))</f>
        <v>Common</v>
      </c>
      <c r="F9" s="9" t="s">
        <v>93</v>
      </c>
      <c r="G9" s="10">
        <v>0.05</v>
      </c>
      <c r="H9" s="9" t="s">
        <v>145</v>
      </c>
      <c r="I9" s="10">
        <v>10</v>
      </c>
      <c r="J9" s="9"/>
      <c r="K9" s="9"/>
      <c r="L9" s="9"/>
      <c r="M9" s="9"/>
      <c r="N9" s="9"/>
      <c r="O9" s="9"/>
      <c r="P9" s="9"/>
      <c r="Q9" s="9" t="s">
        <v>266</v>
      </c>
      <c r="R9" s="9"/>
      <c r="S9" s="9" t="s">
        <v>267</v>
      </c>
    </row>
    <row r="10" spans="1:19" x14ac:dyDescent="0.25">
      <c r="A10" s="9" t="s">
        <v>497</v>
      </c>
      <c r="B10" s="9" t="s">
        <v>72</v>
      </c>
      <c r="C10" s="9" t="s">
        <v>17</v>
      </c>
      <c r="D10" s="9" t="s">
        <v>25</v>
      </c>
      <c r="E10" s="9" t="str">
        <f>IF(G10&lt;Oversigt!$I$8,Oversigt!$H$8,IF(G10&lt;Oversigt!$I$9,Oversigt!$H$9,IF(G10&lt;Oversigt!$I$10,Oversigt!$H$10,IF(G10&lt;Oversigt!$I$11,Oversigt!$H$11,IF(G10&lt;Oversigt!$I$12,Oversigt!$H$12,Oversigt!$H$13)))))</f>
        <v>Common</v>
      </c>
      <c r="F10" s="9" t="s">
        <v>93</v>
      </c>
      <c r="G10" s="10">
        <v>0.05</v>
      </c>
      <c r="H10" s="9" t="s">
        <v>302</v>
      </c>
      <c r="I10" s="10">
        <v>7</v>
      </c>
      <c r="J10" s="9"/>
      <c r="K10" s="9"/>
      <c r="L10" s="9"/>
      <c r="M10" s="9"/>
      <c r="N10" s="9"/>
      <c r="O10" s="9"/>
      <c r="P10" s="9"/>
      <c r="Q10" s="9" t="s">
        <v>98</v>
      </c>
      <c r="R10" s="9"/>
      <c r="S10" s="9" t="s">
        <v>498</v>
      </c>
    </row>
    <row r="11" spans="1:19" x14ac:dyDescent="0.25">
      <c r="A11" s="9" t="s">
        <v>593</v>
      </c>
      <c r="B11" s="9" t="s">
        <v>72</v>
      </c>
      <c r="C11" s="9" t="s">
        <v>17</v>
      </c>
      <c r="D11" s="9" t="s">
        <v>25</v>
      </c>
      <c r="E11" s="9" t="str">
        <f>IF(G11&lt;Oversigt!$I$8,Oversigt!$H$8,IF(G11&lt;Oversigt!$I$9,Oversigt!$H$9,IF(G11&lt;Oversigt!$I$10,Oversigt!$H$10,IF(G11&lt;Oversigt!$I$11,Oversigt!$H$11,IF(G11&lt;Oversigt!$I$12,Oversigt!$H$12,Oversigt!$H$13)))))</f>
        <v>Common</v>
      </c>
      <c r="F11" s="9" t="s">
        <v>93</v>
      </c>
      <c r="G11" s="10">
        <v>0.05</v>
      </c>
      <c r="H11" s="9"/>
      <c r="I11" s="10"/>
      <c r="J11" s="9"/>
      <c r="K11" s="9"/>
      <c r="L11" s="9"/>
      <c r="M11" s="9"/>
      <c r="N11" s="9"/>
      <c r="O11" s="9"/>
      <c r="P11" s="9"/>
      <c r="Q11" s="9" t="s">
        <v>594</v>
      </c>
      <c r="R11" s="9"/>
      <c r="S11" s="9" t="s">
        <v>595</v>
      </c>
    </row>
    <row r="12" spans="1:19" x14ac:dyDescent="0.25">
      <c r="A12" s="9" t="s">
        <v>371</v>
      </c>
      <c r="B12" s="9" t="s">
        <v>72</v>
      </c>
      <c r="C12" s="9" t="s">
        <v>17</v>
      </c>
      <c r="D12" s="9" t="s">
        <v>25</v>
      </c>
      <c r="E12" s="9" t="str">
        <f>IF(G12&lt;Oversigt!$I$8,Oversigt!$H$8,IF(G12&lt;Oversigt!$I$9,Oversigt!$H$9,IF(G12&lt;Oversigt!$I$10,Oversigt!$H$10,IF(G12&lt;Oversigt!$I$11,Oversigt!$H$11,IF(G12&lt;Oversigt!$I$12,Oversigt!$H$12,Oversigt!$H$13)))))</f>
        <v>Common</v>
      </c>
      <c r="F12" s="9" t="s">
        <v>169</v>
      </c>
      <c r="G12" s="10">
        <v>0.1</v>
      </c>
      <c r="H12" s="9" t="s">
        <v>162</v>
      </c>
      <c r="I12" s="10">
        <v>25</v>
      </c>
      <c r="J12" s="9"/>
      <c r="K12" s="9"/>
      <c r="L12" s="9"/>
      <c r="M12" s="9"/>
      <c r="N12" s="9"/>
      <c r="O12" s="9"/>
      <c r="P12" s="9"/>
      <c r="Q12" s="9" t="s">
        <v>98</v>
      </c>
      <c r="R12" s="9"/>
      <c r="S12" s="9" t="s">
        <v>372</v>
      </c>
    </row>
    <row r="13" spans="1:19" x14ac:dyDescent="0.25">
      <c r="A13" s="9" t="s">
        <v>464</v>
      </c>
      <c r="B13" s="9" t="s">
        <v>72</v>
      </c>
      <c r="C13" s="9" t="s">
        <v>17</v>
      </c>
      <c r="D13" s="9" t="s">
        <v>25</v>
      </c>
      <c r="E13" s="9" t="str">
        <f>IF(G13&lt;Oversigt!$I$8,Oversigt!$H$8,IF(G13&lt;Oversigt!$I$9,Oversigt!$H$9,IF(G13&lt;Oversigt!$I$10,Oversigt!$H$10,IF(G13&lt;Oversigt!$I$11,Oversigt!$H$11,IF(G13&lt;Oversigt!$I$12,Oversigt!$H$12,Oversigt!$H$13)))))</f>
        <v>Common</v>
      </c>
      <c r="F13" s="9" t="s">
        <v>169</v>
      </c>
      <c r="G13" s="10">
        <v>0.1</v>
      </c>
      <c r="H13" s="9" t="s">
        <v>74</v>
      </c>
      <c r="I13" s="10">
        <v>1</v>
      </c>
      <c r="J13" s="9"/>
      <c r="K13" s="9"/>
      <c r="L13" s="9"/>
      <c r="M13" s="9"/>
      <c r="N13" s="9"/>
      <c r="O13" s="9"/>
      <c r="P13" s="9"/>
      <c r="Q13" s="9" t="s">
        <v>342</v>
      </c>
      <c r="R13" s="9"/>
      <c r="S13" s="9" t="s">
        <v>465</v>
      </c>
    </row>
    <row r="14" spans="1:19" x14ac:dyDescent="0.25">
      <c r="A14" s="9" t="s">
        <v>478</v>
      </c>
      <c r="B14" s="9" t="s">
        <v>72</v>
      </c>
      <c r="C14" s="9" t="s">
        <v>17</v>
      </c>
      <c r="D14" s="9" t="s">
        <v>25</v>
      </c>
      <c r="E14" s="9" t="str">
        <f>IF(G14&lt;Oversigt!$I$8,Oversigt!$H$8,IF(G14&lt;Oversigt!$I$9,Oversigt!$H$9,IF(G14&lt;Oversigt!$I$10,Oversigt!$H$10,IF(G14&lt;Oversigt!$I$11,Oversigt!$H$11,IF(G14&lt;Oversigt!$I$12,Oversigt!$H$12,Oversigt!$H$13)))))</f>
        <v>Common</v>
      </c>
      <c r="F14" s="9" t="s">
        <v>169</v>
      </c>
      <c r="G14" s="10">
        <v>0.1</v>
      </c>
      <c r="H14" s="9"/>
      <c r="I14" s="10"/>
      <c r="J14" s="9"/>
      <c r="K14" s="9"/>
      <c r="L14" s="9"/>
      <c r="M14" s="9"/>
      <c r="N14" s="9"/>
      <c r="O14" s="9"/>
      <c r="P14" s="9"/>
      <c r="Q14" s="9" t="s">
        <v>351</v>
      </c>
      <c r="R14" s="9"/>
      <c r="S14" s="9" t="s">
        <v>479</v>
      </c>
    </row>
    <row r="15" spans="1:19" x14ac:dyDescent="0.25">
      <c r="A15" s="9" t="s">
        <v>626</v>
      </c>
      <c r="B15" s="9" t="s">
        <v>72</v>
      </c>
      <c r="C15" s="9" t="s">
        <v>17</v>
      </c>
      <c r="D15" s="9" t="s">
        <v>25</v>
      </c>
      <c r="E15" s="9" t="str">
        <f>IF(G15&lt;Oversigt!$I$8,Oversigt!$H$8,IF(G15&lt;Oversigt!$I$9,Oversigt!$H$9,IF(G15&lt;Oversigt!$I$10,Oversigt!$H$10,IF(G15&lt;Oversigt!$I$11,Oversigt!$H$11,IF(G15&lt;Oversigt!$I$12,Oversigt!$H$12,Oversigt!$H$13)))))</f>
        <v>Common</v>
      </c>
      <c r="F15" s="9" t="s">
        <v>169</v>
      </c>
      <c r="G15" s="10">
        <v>0.1</v>
      </c>
      <c r="H15" s="9"/>
      <c r="I15" s="10"/>
      <c r="J15" s="9"/>
      <c r="K15" s="9"/>
      <c r="L15" s="9"/>
      <c r="M15" s="9"/>
      <c r="N15" s="9"/>
      <c r="O15" s="9"/>
      <c r="P15" s="9"/>
      <c r="Q15" s="9" t="s">
        <v>54</v>
      </c>
      <c r="R15" s="9"/>
      <c r="S15" s="9" t="s">
        <v>627</v>
      </c>
    </row>
    <row r="16" spans="1:19" x14ac:dyDescent="0.25">
      <c r="A16" s="9" t="s">
        <v>476</v>
      </c>
      <c r="B16" s="9" t="s">
        <v>72</v>
      </c>
      <c r="C16" s="9" t="s">
        <v>17</v>
      </c>
      <c r="D16" s="9" t="s">
        <v>25</v>
      </c>
      <c r="E16" s="9" t="str">
        <f>IF(G16&lt;Oversigt!$I$8,Oversigt!$H$8,IF(G16&lt;Oversigt!$I$9,Oversigt!$H$9,IF(G16&lt;Oversigt!$I$10,Oversigt!$H$10,IF(G16&lt;Oversigt!$I$11,Oversigt!$H$11,IF(G16&lt;Oversigt!$I$12,Oversigt!$H$12,Oversigt!$H$13)))))</f>
        <v>Common</v>
      </c>
      <c r="F16" s="9" t="s">
        <v>307</v>
      </c>
      <c r="G16" s="10">
        <v>0.2</v>
      </c>
      <c r="H16" s="9"/>
      <c r="I16" s="10"/>
      <c r="J16" s="9"/>
      <c r="K16" s="9"/>
      <c r="L16" s="9"/>
      <c r="M16" s="9"/>
      <c r="N16" s="9"/>
      <c r="O16" s="9"/>
      <c r="P16" s="9"/>
      <c r="Q16" s="9" t="s">
        <v>351</v>
      </c>
      <c r="R16" s="9"/>
      <c r="S16" s="9" t="s">
        <v>477</v>
      </c>
    </row>
    <row r="17" spans="1:19" x14ac:dyDescent="0.25">
      <c r="A17" s="9" t="s">
        <v>674</v>
      </c>
      <c r="B17" s="9" t="s">
        <v>72</v>
      </c>
      <c r="C17" s="9" t="s">
        <v>17</v>
      </c>
      <c r="D17" s="9" t="s">
        <v>25</v>
      </c>
      <c r="E17" s="9" t="str">
        <f>IF(G17&lt;Oversigt!$I$8,Oversigt!$H$8,IF(G17&lt;Oversigt!$I$9,Oversigt!$H$9,IF(G17&lt;Oversigt!$I$10,Oversigt!$H$10,IF(G17&lt;Oversigt!$I$11,Oversigt!$H$11,IF(G17&lt;Oversigt!$I$12,Oversigt!$H$12,Oversigt!$H$13)))))</f>
        <v>Common</v>
      </c>
      <c r="F17" s="9" t="s">
        <v>307</v>
      </c>
      <c r="G17" s="10">
        <v>0.2</v>
      </c>
      <c r="H17" s="9" t="s">
        <v>78</v>
      </c>
      <c r="I17" s="10">
        <v>5</v>
      </c>
      <c r="J17" s="9"/>
      <c r="K17" s="9"/>
      <c r="L17" s="9"/>
      <c r="M17" s="9"/>
      <c r="N17" s="9"/>
      <c r="O17" s="9"/>
      <c r="P17" s="9"/>
      <c r="Q17" s="9" t="s">
        <v>42</v>
      </c>
      <c r="R17" s="9"/>
      <c r="S17" s="9" t="s">
        <v>675</v>
      </c>
    </row>
    <row r="18" spans="1:19" x14ac:dyDescent="0.25">
      <c r="A18" s="9" t="s">
        <v>373</v>
      </c>
      <c r="B18" s="9" t="s">
        <v>72</v>
      </c>
      <c r="C18" s="9" t="s">
        <v>17</v>
      </c>
      <c r="D18" s="9" t="s">
        <v>25</v>
      </c>
      <c r="E18" s="9" t="str">
        <f>IF(G18&lt;Oversigt!$I$8,Oversigt!$H$8,IF(G18&lt;Oversigt!$I$9,Oversigt!$H$9,IF(G18&lt;Oversigt!$I$10,Oversigt!$H$10,IF(G18&lt;Oversigt!$I$11,Oversigt!$H$11,IF(G18&lt;Oversigt!$I$12,Oversigt!$H$12,Oversigt!$H$13)))))</f>
        <v>Common</v>
      </c>
      <c r="F18" s="9" t="s">
        <v>361</v>
      </c>
      <c r="G18" s="10">
        <v>0.5</v>
      </c>
      <c r="H18" s="9" t="s">
        <v>74</v>
      </c>
      <c r="I18" s="10">
        <v>1</v>
      </c>
      <c r="J18" s="9"/>
      <c r="K18" s="9"/>
      <c r="L18" s="9"/>
      <c r="M18" s="9"/>
      <c r="N18" s="9"/>
      <c r="O18" s="9"/>
      <c r="P18" s="9"/>
      <c r="Q18" s="9" t="s">
        <v>98</v>
      </c>
      <c r="R18" s="9"/>
      <c r="S18" s="9" t="s">
        <v>374</v>
      </c>
    </row>
    <row r="19" spans="1:19" x14ac:dyDescent="0.25">
      <c r="A19" s="9" t="s">
        <v>507</v>
      </c>
      <c r="B19" s="9" t="s">
        <v>72</v>
      </c>
      <c r="C19" s="9" t="s">
        <v>17</v>
      </c>
      <c r="D19" s="9" t="s">
        <v>25</v>
      </c>
      <c r="E19" s="9" t="str">
        <f>IF(G19&lt;Oversigt!$I$8,Oversigt!$H$8,IF(G19&lt;Oversigt!$I$9,Oversigt!$H$9,IF(G19&lt;Oversigt!$I$10,Oversigt!$H$10,IF(G19&lt;Oversigt!$I$11,Oversigt!$H$11,IF(G19&lt;Oversigt!$I$12,Oversigt!$H$12,Oversigt!$H$13)))))</f>
        <v>Common</v>
      </c>
      <c r="F19" s="9" t="s">
        <v>361</v>
      </c>
      <c r="G19" s="10">
        <v>0.5</v>
      </c>
      <c r="H19" s="9" t="s">
        <v>74</v>
      </c>
      <c r="I19" s="10">
        <v>1</v>
      </c>
      <c r="J19" s="9"/>
      <c r="K19" s="9"/>
      <c r="L19" s="9"/>
      <c r="M19" s="9"/>
      <c r="N19" s="9"/>
      <c r="O19" s="9"/>
      <c r="P19" s="9"/>
      <c r="Q19" s="9" t="s">
        <v>42</v>
      </c>
      <c r="R19" s="9"/>
      <c r="S19" s="9" t="s">
        <v>508</v>
      </c>
    </row>
    <row r="20" spans="1:19" x14ac:dyDescent="0.25">
      <c r="A20" s="9" t="s">
        <v>524</v>
      </c>
      <c r="B20" s="9" t="s">
        <v>72</v>
      </c>
      <c r="C20" s="9" t="s">
        <v>17</v>
      </c>
      <c r="D20" s="9" t="s">
        <v>25</v>
      </c>
      <c r="E20" s="9" t="str">
        <f>IF(G20&lt;Oversigt!$I$8,Oversigt!$H$8,IF(G20&lt;Oversigt!$I$9,Oversigt!$H$9,IF(G20&lt;Oversigt!$I$10,Oversigt!$H$10,IF(G20&lt;Oversigt!$I$11,Oversigt!$H$11,IF(G20&lt;Oversigt!$I$12,Oversigt!$H$12,Oversigt!$H$13)))))</f>
        <v>Common</v>
      </c>
      <c r="F20" s="9" t="s">
        <v>361</v>
      </c>
      <c r="G20" s="10">
        <v>0.5</v>
      </c>
      <c r="H20" s="9" t="s">
        <v>94</v>
      </c>
      <c r="I20" s="10">
        <v>2</v>
      </c>
      <c r="J20" s="9"/>
      <c r="K20" s="9"/>
      <c r="L20" s="9"/>
      <c r="M20" s="9"/>
      <c r="N20" s="9"/>
      <c r="O20" s="9"/>
      <c r="P20" s="9"/>
      <c r="Q20" s="9" t="s">
        <v>481</v>
      </c>
      <c r="R20" s="9"/>
      <c r="S20" s="9" t="s">
        <v>525</v>
      </c>
    </row>
    <row r="21" spans="1:19" x14ac:dyDescent="0.25">
      <c r="A21" s="9" t="s">
        <v>638</v>
      </c>
      <c r="B21" s="9" t="s">
        <v>72</v>
      </c>
      <c r="C21" s="9" t="s">
        <v>17</v>
      </c>
      <c r="D21" s="9" t="s">
        <v>25</v>
      </c>
      <c r="E21" s="9" t="str">
        <f>IF(G21&lt;Oversigt!$I$8,Oversigt!$H$8,IF(G21&lt;Oversigt!$I$9,Oversigt!$H$9,IF(G21&lt;Oversigt!$I$10,Oversigt!$H$10,IF(G21&lt;Oversigt!$I$11,Oversigt!$H$11,IF(G21&lt;Oversigt!$I$12,Oversigt!$H$12,Oversigt!$H$13)))))</f>
        <v>Common</v>
      </c>
      <c r="F21" s="9" t="s">
        <v>361</v>
      </c>
      <c r="G21" s="10">
        <v>0.5</v>
      </c>
      <c r="H21" s="9" t="s">
        <v>74</v>
      </c>
      <c r="I21" s="10">
        <v>1</v>
      </c>
      <c r="J21" s="9"/>
      <c r="K21" s="9"/>
      <c r="L21" s="9"/>
      <c r="M21" s="9"/>
      <c r="N21" s="9"/>
      <c r="O21" s="9"/>
      <c r="P21" s="9"/>
      <c r="Q21" s="9" t="s">
        <v>98</v>
      </c>
      <c r="R21" s="9"/>
      <c r="S21" s="9" t="s">
        <v>639</v>
      </c>
    </row>
    <row r="22" spans="1:19" x14ac:dyDescent="0.25">
      <c r="A22" s="9" t="s">
        <v>113</v>
      </c>
      <c r="B22" s="9" t="s">
        <v>72</v>
      </c>
      <c r="C22" s="9" t="s">
        <v>17</v>
      </c>
      <c r="D22" s="9" t="s">
        <v>25</v>
      </c>
      <c r="E22" s="9" t="str">
        <f>IF(G22&lt;Oversigt!$I$8,Oversigt!$H$8,IF(G22&lt;Oversigt!$I$9,Oversigt!$H$9,IF(G22&lt;Oversigt!$I$10,Oversigt!$H$10,IF(G22&lt;Oversigt!$I$11,Oversigt!$H$11,IF(G22&lt;Oversigt!$I$12,Oversigt!$H$12,Oversigt!$H$13)))))</f>
        <v>Common</v>
      </c>
      <c r="F22" s="9" t="s">
        <v>114</v>
      </c>
      <c r="G22" s="10">
        <v>1</v>
      </c>
      <c r="H22" s="9" t="s">
        <v>94</v>
      </c>
      <c r="I22" s="10">
        <v>2</v>
      </c>
      <c r="J22" s="9"/>
      <c r="K22" s="9"/>
      <c r="L22" s="9"/>
      <c r="M22" s="9"/>
      <c r="N22" s="9"/>
      <c r="O22" s="9"/>
      <c r="P22" s="9"/>
      <c r="Q22" s="9" t="s">
        <v>115</v>
      </c>
      <c r="R22" s="9"/>
      <c r="S22" s="9" t="s">
        <v>116</v>
      </c>
    </row>
    <row r="23" spans="1:19" x14ac:dyDescent="0.25">
      <c r="A23" s="9" t="s">
        <v>187</v>
      </c>
      <c r="B23" s="9" t="s">
        <v>72</v>
      </c>
      <c r="C23" s="9" t="s">
        <v>17</v>
      </c>
      <c r="D23" s="9" t="s">
        <v>25</v>
      </c>
      <c r="E23" s="9" t="str">
        <f>IF(G23&lt;Oversigt!$I$8,Oversigt!$H$8,IF(G23&lt;Oversigt!$I$9,Oversigt!$H$9,IF(G23&lt;Oversigt!$I$10,Oversigt!$H$10,IF(G23&lt;Oversigt!$I$11,Oversigt!$H$11,IF(G23&lt;Oversigt!$I$12,Oversigt!$H$12,Oversigt!$H$13)))))</f>
        <v>Common</v>
      </c>
      <c r="F23" s="9" t="s">
        <v>114</v>
      </c>
      <c r="G23" s="10">
        <v>1</v>
      </c>
      <c r="H23" s="9" t="s">
        <v>74</v>
      </c>
      <c r="I23" s="10">
        <v>1</v>
      </c>
      <c r="J23" s="9"/>
      <c r="K23" s="9"/>
      <c r="L23" s="9"/>
      <c r="M23" s="9"/>
      <c r="N23" s="9"/>
      <c r="O23" s="9"/>
      <c r="P23" s="9"/>
      <c r="Q23" s="9" t="s">
        <v>42</v>
      </c>
      <c r="R23" s="9"/>
      <c r="S23" s="9" t="s">
        <v>188</v>
      </c>
    </row>
    <row r="24" spans="1:19" x14ac:dyDescent="0.25">
      <c r="A24" s="9" t="s">
        <v>358</v>
      </c>
      <c r="B24" s="9" t="s">
        <v>72</v>
      </c>
      <c r="C24" s="9" t="s">
        <v>17</v>
      </c>
      <c r="D24" s="9" t="s">
        <v>25</v>
      </c>
      <c r="E24" s="9" t="str">
        <f>IF(G24&lt;Oversigt!$I$8,Oversigt!$H$8,IF(G24&lt;Oversigt!$I$9,Oversigt!$H$9,IF(G24&lt;Oversigt!$I$10,Oversigt!$H$10,IF(G24&lt;Oversigt!$I$11,Oversigt!$H$11,IF(G24&lt;Oversigt!$I$12,Oversigt!$H$12,Oversigt!$H$13)))))</f>
        <v>Common</v>
      </c>
      <c r="F24" s="9" t="s">
        <v>114</v>
      </c>
      <c r="G24" s="10">
        <v>1</v>
      </c>
      <c r="H24" s="9" t="s">
        <v>78</v>
      </c>
      <c r="I24" s="10">
        <v>5</v>
      </c>
      <c r="J24" s="9"/>
      <c r="K24" s="9"/>
      <c r="L24" s="9"/>
      <c r="M24" s="9"/>
      <c r="N24" s="9"/>
      <c r="O24" s="9"/>
      <c r="P24" s="9"/>
      <c r="Q24" s="9" t="s">
        <v>54</v>
      </c>
      <c r="R24" s="9"/>
      <c r="S24" s="9" t="s">
        <v>359</v>
      </c>
    </row>
    <row r="25" spans="1:19" x14ac:dyDescent="0.25">
      <c r="A25" s="9" t="s">
        <v>426</v>
      </c>
      <c r="B25" s="9" t="s">
        <v>72</v>
      </c>
      <c r="C25" s="9" t="s">
        <v>17</v>
      </c>
      <c r="D25" s="9" t="s">
        <v>25</v>
      </c>
      <c r="E25" s="9" t="str">
        <f>IF(G25&lt;Oversigt!$I$8,Oversigt!$H$8,IF(G25&lt;Oversigt!$I$9,Oversigt!$H$9,IF(G25&lt;Oversigt!$I$10,Oversigt!$H$10,IF(G25&lt;Oversigt!$I$11,Oversigt!$H$11,IF(G25&lt;Oversigt!$I$12,Oversigt!$H$12,Oversigt!$H$13)))))</f>
        <v>Common</v>
      </c>
      <c r="F25" s="9" t="s">
        <v>114</v>
      </c>
      <c r="G25" s="10">
        <v>1</v>
      </c>
      <c r="H25" s="9"/>
      <c r="I25" s="10"/>
      <c r="J25" s="9"/>
      <c r="K25" s="9"/>
      <c r="L25" s="9"/>
      <c r="M25" s="9"/>
      <c r="N25" s="9"/>
      <c r="O25" s="9"/>
      <c r="P25" s="9"/>
      <c r="Q25" s="9"/>
      <c r="R25" s="9"/>
      <c r="S25" s="9" t="s">
        <v>427</v>
      </c>
    </row>
    <row r="26" spans="1:19" x14ac:dyDescent="0.25">
      <c r="A26" s="9" t="s">
        <v>428</v>
      </c>
      <c r="B26" s="9" t="s">
        <v>72</v>
      </c>
      <c r="C26" s="9" t="s">
        <v>17</v>
      </c>
      <c r="D26" s="9" t="s">
        <v>25</v>
      </c>
      <c r="E26" s="9" t="str">
        <f>IF(G26&lt;Oversigt!$I$8,Oversigt!$H$8,IF(G26&lt;Oversigt!$I$9,Oversigt!$H$9,IF(G26&lt;Oversigt!$I$10,Oversigt!$H$10,IF(G26&lt;Oversigt!$I$11,Oversigt!$H$11,IF(G26&lt;Oversigt!$I$12,Oversigt!$H$12,Oversigt!$H$13)))))</f>
        <v>Common</v>
      </c>
      <c r="F26" s="9" t="s">
        <v>114</v>
      </c>
      <c r="G26" s="10">
        <v>1</v>
      </c>
      <c r="H26" s="9" t="s">
        <v>74</v>
      </c>
      <c r="I26" s="10">
        <v>1</v>
      </c>
      <c r="J26" s="9"/>
      <c r="K26" s="9"/>
      <c r="L26" s="9"/>
      <c r="M26" s="9"/>
      <c r="N26" s="9"/>
      <c r="O26" s="9"/>
      <c r="P26" s="9"/>
      <c r="Q26" s="9" t="s">
        <v>42</v>
      </c>
      <c r="R26" s="9"/>
      <c r="S26" s="9" t="s">
        <v>429</v>
      </c>
    </row>
    <row r="27" spans="1:19" x14ac:dyDescent="0.25">
      <c r="A27" s="9" t="s">
        <v>457</v>
      </c>
      <c r="B27" s="9" t="s">
        <v>72</v>
      </c>
      <c r="C27" s="9" t="s">
        <v>17</v>
      </c>
      <c r="D27" s="9" t="s">
        <v>25</v>
      </c>
      <c r="E27" s="9" t="str">
        <f>IF(G27&lt;Oversigt!$I$8,Oversigt!$H$8,IF(G27&lt;Oversigt!$I$9,Oversigt!$H$9,IF(G27&lt;Oversigt!$I$10,Oversigt!$H$10,IF(G27&lt;Oversigt!$I$11,Oversigt!$H$11,IF(G27&lt;Oversigt!$I$12,Oversigt!$H$12,Oversigt!$H$13)))))</f>
        <v>Common</v>
      </c>
      <c r="F27" s="9" t="s">
        <v>114</v>
      </c>
      <c r="G27" s="10">
        <v>1</v>
      </c>
      <c r="H27" s="9" t="s">
        <v>191</v>
      </c>
      <c r="I27" s="10">
        <v>3</v>
      </c>
      <c r="J27" s="9"/>
      <c r="K27" s="9"/>
      <c r="L27" s="9"/>
      <c r="M27" s="9"/>
      <c r="N27" s="9"/>
      <c r="O27" s="9"/>
      <c r="P27" s="9"/>
      <c r="Q27" s="9"/>
      <c r="R27" s="9"/>
      <c r="S27" s="9" t="s">
        <v>458</v>
      </c>
    </row>
    <row r="28" spans="1:19" x14ac:dyDescent="0.25">
      <c r="A28" s="9" t="s">
        <v>519</v>
      </c>
      <c r="B28" s="9" t="s">
        <v>72</v>
      </c>
      <c r="C28" s="9" t="s">
        <v>17</v>
      </c>
      <c r="D28" s="9" t="s">
        <v>25</v>
      </c>
      <c r="E28" s="9" t="str">
        <f>IF(G28&lt;Oversigt!$I$8,Oversigt!$H$8,IF(G28&lt;Oversigt!$I$9,Oversigt!$H$9,IF(G28&lt;Oversigt!$I$10,Oversigt!$H$10,IF(G28&lt;Oversigt!$I$11,Oversigt!$H$11,IF(G28&lt;Oversigt!$I$12,Oversigt!$H$12,Oversigt!$H$13)))))</f>
        <v>Common</v>
      </c>
      <c r="F28" s="9" t="s">
        <v>114</v>
      </c>
      <c r="G28" s="10">
        <v>1</v>
      </c>
      <c r="H28" s="9" t="s">
        <v>74</v>
      </c>
      <c r="I28" s="10">
        <v>1</v>
      </c>
      <c r="J28" s="9"/>
      <c r="K28" s="9"/>
      <c r="L28" s="9"/>
      <c r="M28" s="9"/>
      <c r="N28" s="9"/>
      <c r="O28" s="9"/>
      <c r="P28" s="9"/>
      <c r="Q28" s="9" t="s">
        <v>42</v>
      </c>
      <c r="R28" s="9"/>
      <c r="S28" s="9" t="s">
        <v>520</v>
      </c>
    </row>
    <row r="29" spans="1:19" x14ac:dyDescent="0.25">
      <c r="A29" s="9" t="s">
        <v>547</v>
      </c>
      <c r="B29" s="9" t="s">
        <v>72</v>
      </c>
      <c r="C29" s="9" t="s">
        <v>17</v>
      </c>
      <c r="D29" s="9" t="s">
        <v>25</v>
      </c>
      <c r="E29" s="9" t="str">
        <f>IF(G29&lt;Oversigt!$I$8,Oversigt!$H$8,IF(G29&lt;Oversigt!$I$9,Oversigt!$H$9,IF(G29&lt;Oversigt!$I$10,Oversigt!$H$10,IF(G29&lt;Oversigt!$I$11,Oversigt!$H$11,IF(G29&lt;Oversigt!$I$12,Oversigt!$H$12,Oversigt!$H$13)))))</f>
        <v>Common</v>
      </c>
      <c r="F29" s="9" t="s">
        <v>114</v>
      </c>
      <c r="G29" s="10">
        <v>1</v>
      </c>
      <c r="H29" s="9" t="s">
        <v>184</v>
      </c>
      <c r="I29" s="10">
        <v>4</v>
      </c>
      <c r="J29" s="9"/>
      <c r="K29" s="9"/>
      <c r="L29" s="9"/>
      <c r="M29" s="9"/>
      <c r="N29" s="9"/>
      <c r="O29" s="9"/>
      <c r="P29" s="9"/>
      <c r="Q29" s="9"/>
      <c r="R29" s="9"/>
      <c r="S29" s="9" t="s">
        <v>548</v>
      </c>
    </row>
    <row r="30" spans="1:19" x14ac:dyDescent="0.25">
      <c r="A30" s="9" t="s">
        <v>550</v>
      </c>
      <c r="B30" s="9" t="s">
        <v>72</v>
      </c>
      <c r="C30" s="9" t="s">
        <v>17</v>
      </c>
      <c r="D30" s="9" t="s">
        <v>25</v>
      </c>
      <c r="E30" s="9" t="str">
        <f>IF(G30&lt;Oversigt!$I$8,Oversigt!$H$8,IF(G30&lt;Oversigt!$I$9,Oversigt!$H$9,IF(G30&lt;Oversigt!$I$10,Oversigt!$H$10,IF(G30&lt;Oversigt!$I$11,Oversigt!$H$11,IF(G30&lt;Oversigt!$I$12,Oversigt!$H$12,Oversigt!$H$13)))))</f>
        <v>Common</v>
      </c>
      <c r="F30" s="9" t="s">
        <v>114</v>
      </c>
      <c r="G30" s="10">
        <v>1</v>
      </c>
      <c r="H30" s="9" t="s">
        <v>78</v>
      </c>
      <c r="I30" s="10">
        <v>5</v>
      </c>
      <c r="J30" s="9"/>
      <c r="K30" s="9"/>
      <c r="L30" s="9"/>
      <c r="M30" s="9"/>
      <c r="N30" s="9"/>
      <c r="O30" s="9"/>
      <c r="P30" s="9"/>
      <c r="Q30" s="9"/>
      <c r="R30" s="9"/>
      <c r="S30" s="9" t="s">
        <v>551</v>
      </c>
    </row>
    <row r="31" spans="1:19" x14ac:dyDescent="0.25">
      <c r="A31" s="9" t="s">
        <v>656</v>
      </c>
      <c r="B31" s="9" t="s">
        <v>72</v>
      </c>
      <c r="C31" s="9" t="s">
        <v>17</v>
      </c>
      <c r="D31" s="9" t="s">
        <v>25</v>
      </c>
      <c r="E31" s="9" t="str">
        <f>IF(G31&lt;Oversigt!$I$8,Oversigt!$H$8,IF(G31&lt;Oversigt!$I$9,Oversigt!$H$9,IF(G31&lt;Oversigt!$I$10,Oversigt!$H$10,IF(G31&lt;Oversigt!$I$11,Oversigt!$H$11,IF(G31&lt;Oversigt!$I$12,Oversigt!$H$12,Oversigt!$H$13)))))</f>
        <v>Common</v>
      </c>
      <c r="F31" s="9" t="s">
        <v>114</v>
      </c>
      <c r="G31" s="10">
        <v>1</v>
      </c>
      <c r="H31" s="9"/>
      <c r="I31" s="10"/>
      <c r="J31" s="9"/>
      <c r="K31" s="9"/>
      <c r="L31" s="9"/>
      <c r="M31" s="9"/>
      <c r="N31" s="9"/>
      <c r="O31" s="9"/>
      <c r="P31" s="9"/>
      <c r="Q31" s="9" t="s">
        <v>42</v>
      </c>
      <c r="R31" s="9"/>
      <c r="S31" s="9" t="s">
        <v>657</v>
      </c>
    </row>
    <row r="32" spans="1:19" x14ac:dyDescent="0.25">
      <c r="A32" s="9" t="s">
        <v>206</v>
      </c>
      <c r="B32" s="9" t="s">
        <v>72</v>
      </c>
      <c r="C32" s="9" t="s">
        <v>17</v>
      </c>
      <c r="D32" s="9" t="s">
        <v>25</v>
      </c>
      <c r="E32" s="9" t="str">
        <f>IF(G32&lt;Oversigt!$I$8,Oversigt!$H$8,IF(G32&lt;Oversigt!$I$9,Oversigt!$H$9,IF(G32&lt;Oversigt!$I$10,Oversigt!$H$10,IF(G32&lt;Oversigt!$I$11,Oversigt!$H$11,IF(G32&lt;Oversigt!$I$12,Oversigt!$H$12,Oversigt!$H$13)))))</f>
        <v>Uncommon</v>
      </c>
      <c r="F32" s="9" t="s">
        <v>207</v>
      </c>
      <c r="G32" s="10">
        <v>2</v>
      </c>
      <c r="H32" s="9" t="s">
        <v>78</v>
      </c>
      <c r="I32" s="10">
        <v>5</v>
      </c>
      <c r="J32" s="9"/>
      <c r="K32" s="9"/>
      <c r="L32" s="9"/>
      <c r="M32" s="9"/>
      <c r="N32" s="9"/>
      <c r="O32" s="9"/>
      <c r="P32" s="9"/>
      <c r="Q32" s="9" t="s">
        <v>98</v>
      </c>
      <c r="R32" s="9"/>
      <c r="S32" s="9" t="s">
        <v>208</v>
      </c>
    </row>
    <row r="33" spans="1:19" x14ac:dyDescent="0.25">
      <c r="A33" s="9" t="s">
        <v>294</v>
      </c>
      <c r="B33" s="9" t="s">
        <v>72</v>
      </c>
      <c r="C33" s="9" t="s">
        <v>17</v>
      </c>
      <c r="D33" s="9" t="s">
        <v>25</v>
      </c>
      <c r="E33" s="9" t="str">
        <f>IF(G33&lt;Oversigt!$I$8,Oversigt!$H$8,IF(G33&lt;Oversigt!$I$9,Oversigt!$H$9,IF(G33&lt;Oversigt!$I$10,Oversigt!$H$10,IF(G33&lt;Oversigt!$I$11,Oversigt!$H$11,IF(G33&lt;Oversigt!$I$12,Oversigt!$H$12,Oversigt!$H$13)))))</f>
        <v>Uncommon</v>
      </c>
      <c r="F33" s="9" t="s">
        <v>207</v>
      </c>
      <c r="G33" s="10">
        <v>2</v>
      </c>
      <c r="H33" s="9" t="s">
        <v>94</v>
      </c>
      <c r="I33" s="10">
        <v>2</v>
      </c>
      <c r="J33" s="9"/>
      <c r="K33" s="9"/>
      <c r="L33" s="9"/>
      <c r="M33" s="9"/>
      <c r="N33" s="9"/>
      <c r="O33" s="9"/>
      <c r="P33" s="9"/>
      <c r="Q33" s="9" t="s">
        <v>42</v>
      </c>
      <c r="R33" s="9"/>
      <c r="S33" s="9" t="s">
        <v>295</v>
      </c>
    </row>
    <row r="34" spans="1:19" x14ac:dyDescent="0.25">
      <c r="A34" s="9" t="s">
        <v>299</v>
      </c>
      <c r="B34" s="9" t="s">
        <v>72</v>
      </c>
      <c r="C34" s="9" t="s">
        <v>17</v>
      </c>
      <c r="D34" s="9" t="s">
        <v>25</v>
      </c>
      <c r="E34" s="9" t="str">
        <f>IF(G34&lt;Oversigt!$I$8,Oversigt!$H$8,IF(G34&lt;Oversigt!$I$9,Oversigt!$H$9,IF(G34&lt;Oversigt!$I$10,Oversigt!$H$10,IF(G34&lt;Oversigt!$I$11,Oversigt!$H$11,IF(G34&lt;Oversigt!$I$12,Oversigt!$H$12,Oversigt!$H$13)))))</f>
        <v>Uncommon</v>
      </c>
      <c r="F34" s="9" t="s">
        <v>207</v>
      </c>
      <c r="G34" s="10">
        <v>2</v>
      </c>
      <c r="H34" s="9" t="s">
        <v>184</v>
      </c>
      <c r="I34" s="10">
        <v>4</v>
      </c>
      <c r="J34" s="9"/>
      <c r="K34" s="9"/>
      <c r="L34" s="9"/>
      <c r="M34" s="9"/>
      <c r="N34" s="9"/>
      <c r="O34" s="9"/>
      <c r="P34" s="9"/>
      <c r="Q34" s="9" t="s">
        <v>98</v>
      </c>
      <c r="R34" s="9"/>
      <c r="S34" s="9" t="s">
        <v>300</v>
      </c>
    </row>
    <row r="35" spans="1:19" x14ac:dyDescent="0.25">
      <c r="A35" s="9" t="s">
        <v>356</v>
      </c>
      <c r="B35" s="9" t="s">
        <v>72</v>
      </c>
      <c r="C35" s="9" t="s">
        <v>17</v>
      </c>
      <c r="D35" s="9" t="s">
        <v>25</v>
      </c>
      <c r="E35" s="9" t="str">
        <f>IF(G35&lt;Oversigt!$I$8,Oversigt!$H$8,IF(G35&lt;Oversigt!$I$9,Oversigt!$H$9,IF(G35&lt;Oversigt!$I$10,Oversigt!$H$10,IF(G35&lt;Oversigt!$I$11,Oversigt!$H$11,IF(G35&lt;Oversigt!$I$12,Oversigt!$H$12,Oversigt!$H$13)))))</f>
        <v>Uncommon</v>
      </c>
      <c r="F35" s="9" t="s">
        <v>207</v>
      </c>
      <c r="G35" s="10">
        <v>2</v>
      </c>
      <c r="H35" s="9" t="s">
        <v>145</v>
      </c>
      <c r="I35" s="10">
        <v>10</v>
      </c>
      <c r="J35" s="9"/>
      <c r="K35" s="9"/>
      <c r="L35" s="9"/>
      <c r="M35" s="9"/>
      <c r="N35" s="9"/>
      <c r="O35" s="9"/>
      <c r="P35" s="9"/>
      <c r="Q35" s="9" t="s">
        <v>42</v>
      </c>
      <c r="R35" s="9"/>
      <c r="S35" s="9" t="s">
        <v>357</v>
      </c>
    </row>
    <row r="36" spans="1:19" x14ac:dyDescent="0.25">
      <c r="A36" s="9" t="s">
        <v>423</v>
      </c>
      <c r="B36" s="9" t="s">
        <v>72</v>
      </c>
      <c r="C36" s="9" t="s">
        <v>17</v>
      </c>
      <c r="D36" s="9" t="s">
        <v>25</v>
      </c>
      <c r="E36" s="9" t="str">
        <f>IF(G36&lt;Oversigt!$I$8,Oversigt!$H$8,IF(G36&lt;Oversigt!$I$9,Oversigt!$H$9,IF(G36&lt;Oversigt!$I$10,Oversigt!$H$10,IF(G36&lt;Oversigt!$I$11,Oversigt!$H$11,IF(G36&lt;Oversigt!$I$12,Oversigt!$H$12,Oversigt!$H$13)))))</f>
        <v>Uncommon</v>
      </c>
      <c r="F36" s="9" t="s">
        <v>207</v>
      </c>
      <c r="G36" s="10">
        <v>2</v>
      </c>
      <c r="H36" s="9" t="s">
        <v>128</v>
      </c>
      <c r="I36" s="10">
        <v>6</v>
      </c>
      <c r="J36" s="9"/>
      <c r="K36" s="9"/>
      <c r="L36" s="9"/>
      <c r="M36" s="9"/>
      <c r="N36" s="9"/>
      <c r="O36" s="9"/>
      <c r="P36" s="9"/>
      <c r="Q36" s="9" t="s">
        <v>424</v>
      </c>
      <c r="R36" s="9"/>
      <c r="S36" s="9" t="s">
        <v>425</v>
      </c>
    </row>
    <row r="37" spans="1:19" x14ac:dyDescent="0.25">
      <c r="A37" s="9" t="s">
        <v>588</v>
      </c>
      <c r="B37" s="9" t="s">
        <v>72</v>
      </c>
      <c r="C37" s="9" t="s">
        <v>17</v>
      </c>
      <c r="D37" s="9" t="s">
        <v>25</v>
      </c>
      <c r="E37" s="9" t="str">
        <f>IF(G37&lt;Oversigt!$I$8,Oversigt!$H$8,IF(G37&lt;Oversigt!$I$9,Oversigt!$H$9,IF(G37&lt;Oversigt!$I$10,Oversigt!$H$10,IF(G37&lt;Oversigt!$I$11,Oversigt!$H$11,IF(G37&lt;Oversigt!$I$12,Oversigt!$H$12,Oversigt!$H$13)))))</f>
        <v>Uncommon</v>
      </c>
      <c r="F37" s="9" t="s">
        <v>207</v>
      </c>
      <c r="G37" s="10">
        <v>2</v>
      </c>
      <c r="H37" s="9" t="s">
        <v>78</v>
      </c>
      <c r="I37" s="10">
        <v>5</v>
      </c>
      <c r="J37" s="9"/>
      <c r="K37" s="9"/>
      <c r="L37" s="9"/>
      <c r="M37" s="9"/>
      <c r="N37" s="9"/>
      <c r="O37" s="9"/>
      <c r="P37" s="9"/>
      <c r="Q37" s="9" t="s">
        <v>54</v>
      </c>
      <c r="R37" s="9"/>
      <c r="S37" s="9" t="s">
        <v>589</v>
      </c>
    </row>
    <row r="38" spans="1:19" x14ac:dyDescent="0.25">
      <c r="A38" s="9" t="s">
        <v>633</v>
      </c>
      <c r="B38" s="9" t="s">
        <v>72</v>
      </c>
      <c r="C38" s="9" t="s">
        <v>17</v>
      </c>
      <c r="D38" s="9" t="s">
        <v>25</v>
      </c>
      <c r="E38" s="9" t="str">
        <f>IF(G38&lt;Oversigt!$I$8,Oversigt!$H$8,IF(G38&lt;Oversigt!$I$9,Oversigt!$H$9,IF(G38&lt;Oversigt!$I$10,Oversigt!$H$10,IF(G38&lt;Oversigt!$I$11,Oversigt!$H$11,IF(G38&lt;Oversigt!$I$12,Oversigt!$H$12,Oversigt!$H$13)))))</f>
        <v>Uncommon</v>
      </c>
      <c r="F38" s="9" t="s">
        <v>207</v>
      </c>
      <c r="G38" s="10">
        <v>2</v>
      </c>
      <c r="H38" s="9" t="s">
        <v>84</v>
      </c>
      <c r="I38" s="10">
        <v>20</v>
      </c>
      <c r="J38" s="9"/>
      <c r="K38" s="9"/>
      <c r="L38" s="9"/>
      <c r="M38" s="9"/>
      <c r="N38" s="9"/>
      <c r="O38" s="9"/>
      <c r="P38" s="9"/>
      <c r="Q38" s="9" t="s">
        <v>623</v>
      </c>
      <c r="R38" s="9"/>
      <c r="S38" s="9" t="s">
        <v>634</v>
      </c>
    </row>
    <row r="39" spans="1:19" x14ac:dyDescent="0.25">
      <c r="A39" s="9" t="s">
        <v>648</v>
      </c>
      <c r="B39" s="9" t="s">
        <v>72</v>
      </c>
      <c r="C39" s="9" t="s">
        <v>17</v>
      </c>
      <c r="D39" s="9" t="s">
        <v>25</v>
      </c>
      <c r="E39" s="9" t="str">
        <f>IF(G39&lt;Oversigt!$I$8,Oversigt!$H$8,IF(G39&lt;Oversigt!$I$9,Oversigt!$H$9,IF(G39&lt;Oversigt!$I$10,Oversigt!$H$10,IF(G39&lt;Oversigt!$I$11,Oversigt!$H$11,IF(G39&lt;Oversigt!$I$12,Oversigt!$H$12,Oversigt!$H$13)))))</f>
        <v>Uncommon</v>
      </c>
      <c r="F39" s="9" t="s">
        <v>207</v>
      </c>
      <c r="G39" s="10">
        <v>2</v>
      </c>
      <c r="H39" s="9" t="s">
        <v>184</v>
      </c>
      <c r="I39" s="10">
        <v>4</v>
      </c>
      <c r="J39" s="9"/>
      <c r="K39" s="9"/>
      <c r="L39" s="9"/>
      <c r="M39" s="9"/>
      <c r="N39" s="9"/>
      <c r="O39" s="9"/>
      <c r="P39" s="9"/>
      <c r="Q39" s="9" t="s">
        <v>269</v>
      </c>
      <c r="R39" s="9"/>
      <c r="S39" s="9" t="s">
        <v>649</v>
      </c>
    </row>
    <row r="40" spans="1:19" x14ac:dyDescent="0.25">
      <c r="A40" s="9" t="s">
        <v>501</v>
      </c>
      <c r="B40" s="9" t="s">
        <v>72</v>
      </c>
      <c r="C40" s="9" t="s">
        <v>17</v>
      </c>
      <c r="D40" s="9" t="s">
        <v>25</v>
      </c>
      <c r="E40" s="9" t="str">
        <f>IF(G40&lt;Oversigt!$I$8,Oversigt!$H$8,IF(G40&lt;Oversigt!$I$9,Oversigt!$H$9,IF(G40&lt;Oversigt!$I$10,Oversigt!$H$10,IF(G40&lt;Oversigt!$I$11,Oversigt!$H$11,IF(G40&lt;Oversigt!$I$12,Oversigt!$H$12,Oversigt!$H$13)))))</f>
        <v>Uncommon</v>
      </c>
      <c r="F40" s="9" t="s">
        <v>502</v>
      </c>
      <c r="G40" s="10">
        <v>4</v>
      </c>
      <c r="H40" s="9" t="s">
        <v>503</v>
      </c>
      <c r="I40" s="10">
        <v>35</v>
      </c>
      <c r="J40" s="9"/>
      <c r="K40" s="9"/>
      <c r="L40" s="9"/>
      <c r="M40" s="9"/>
      <c r="N40" s="9"/>
      <c r="O40" s="9"/>
      <c r="P40" s="9"/>
      <c r="Q40" s="9" t="s">
        <v>98</v>
      </c>
      <c r="R40" s="9"/>
      <c r="S40" s="9" t="s">
        <v>504</v>
      </c>
    </row>
    <row r="41" spans="1:19" x14ac:dyDescent="0.25">
      <c r="A41" s="9" t="s">
        <v>143</v>
      </c>
      <c r="B41" s="9" t="s">
        <v>72</v>
      </c>
      <c r="C41" s="9" t="s">
        <v>17</v>
      </c>
      <c r="D41" s="9" t="s">
        <v>25</v>
      </c>
      <c r="E41" s="9" t="str">
        <f>IF(G41&lt;Oversigt!$I$8,Oversigt!$H$8,IF(G41&lt;Oversigt!$I$9,Oversigt!$H$9,IF(G41&lt;Oversigt!$I$10,Oversigt!$H$10,IF(G41&lt;Oversigt!$I$11,Oversigt!$H$11,IF(G41&lt;Oversigt!$I$12,Oversigt!$H$12,Oversigt!$H$13)))))</f>
        <v>Uncommon</v>
      </c>
      <c r="F41" s="9" t="s">
        <v>144</v>
      </c>
      <c r="G41" s="10">
        <v>5</v>
      </c>
      <c r="H41" s="9" t="s">
        <v>145</v>
      </c>
      <c r="I41" s="10">
        <v>10</v>
      </c>
      <c r="J41" s="9"/>
      <c r="K41" s="9"/>
      <c r="L41" s="9"/>
      <c r="M41" s="9"/>
      <c r="N41" s="9"/>
      <c r="O41" s="9"/>
      <c r="P41" s="9"/>
      <c r="Q41" s="9"/>
      <c r="R41" s="9"/>
      <c r="S41" s="9" t="s">
        <v>146</v>
      </c>
    </row>
    <row r="42" spans="1:19" x14ac:dyDescent="0.25">
      <c r="A42" s="9" t="s">
        <v>161</v>
      </c>
      <c r="B42" s="9" t="s">
        <v>72</v>
      </c>
      <c r="C42" s="9" t="s">
        <v>17</v>
      </c>
      <c r="D42" s="9" t="s">
        <v>25</v>
      </c>
      <c r="E42" s="9" t="str">
        <f>IF(G42&lt;Oversigt!$I$8,Oversigt!$H$8,IF(G42&lt;Oversigt!$I$9,Oversigt!$H$9,IF(G42&lt;Oversigt!$I$10,Oversigt!$H$10,IF(G42&lt;Oversigt!$I$11,Oversigt!$H$11,IF(G42&lt;Oversigt!$I$12,Oversigt!$H$12,Oversigt!$H$13)))))</f>
        <v>Uncommon</v>
      </c>
      <c r="F42" s="9" t="s">
        <v>144</v>
      </c>
      <c r="G42" s="10">
        <v>5</v>
      </c>
      <c r="H42" s="9" t="s">
        <v>162</v>
      </c>
      <c r="I42" s="10">
        <v>25</v>
      </c>
      <c r="J42" s="9"/>
      <c r="K42" s="9"/>
      <c r="L42" s="9"/>
      <c r="M42" s="9"/>
      <c r="N42" s="9"/>
      <c r="O42" s="9"/>
      <c r="P42" s="9"/>
      <c r="Q42" s="9" t="s">
        <v>42</v>
      </c>
      <c r="R42" s="9"/>
      <c r="S42" s="9" t="s">
        <v>163</v>
      </c>
    </row>
    <row r="43" spans="1:19" x14ac:dyDescent="0.25">
      <c r="A43" s="9" t="s">
        <v>183</v>
      </c>
      <c r="B43" s="9" t="s">
        <v>72</v>
      </c>
      <c r="C43" s="9" t="s">
        <v>17</v>
      </c>
      <c r="D43" s="9" t="s">
        <v>25</v>
      </c>
      <c r="E43" s="9" t="str">
        <f>IF(G43&lt;Oversigt!$I$8,Oversigt!$H$8,IF(G43&lt;Oversigt!$I$9,Oversigt!$H$9,IF(G43&lt;Oversigt!$I$10,Oversigt!$H$10,IF(G43&lt;Oversigt!$I$11,Oversigt!$H$11,IF(G43&lt;Oversigt!$I$12,Oversigt!$H$12,Oversigt!$H$13)))))</f>
        <v>Uncommon</v>
      </c>
      <c r="F43" s="9" t="s">
        <v>144</v>
      </c>
      <c r="G43" s="10">
        <v>5</v>
      </c>
      <c r="H43" s="9" t="s">
        <v>184</v>
      </c>
      <c r="I43" s="10">
        <v>4</v>
      </c>
      <c r="J43" s="9"/>
      <c r="K43" s="9"/>
      <c r="L43" s="9"/>
      <c r="M43" s="9"/>
      <c r="N43" s="9"/>
      <c r="O43" s="9"/>
      <c r="P43" s="9"/>
      <c r="Q43" s="9" t="s">
        <v>185</v>
      </c>
      <c r="R43" s="9"/>
      <c r="S43" s="9" t="s">
        <v>186</v>
      </c>
    </row>
    <row r="44" spans="1:19" x14ac:dyDescent="0.25">
      <c r="A44" s="9" t="s">
        <v>331</v>
      </c>
      <c r="B44" s="9" t="s">
        <v>72</v>
      </c>
      <c r="C44" s="9" t="s">
        <v>17</v>
      </c>
      <c r="D44" s="9" t="s">
        <v>25</v>
      </c>
      <c r="E44" s="9" t="str">
        <f>IF(G44&lt;Oversigt!$I$8,Oversigt!$H$8,IF(G44&lt;Oversigt!$I$9,Oversigt!$H$9,IF(G44&lt;Oversigt!$I$10,Oversigt!$H$10,IF(G44&lt;Oversigt!$I$11,Oversigt!$H$11,IF(G44&lt;Oversigt!$I$12,Oversigt!$H$12,Oversigt!$H$13)))))</f>
        <v>Uncommon</v>
      </c>
      <c r="F44" s="9" t="s">
        <v>144</v>
      </c>
      <c r="G44" s="10">
        <v>5</v>
      </c>
      <c r="H44" s="9" t="s">
        <v>191</v>
      </c>
      <c r="I44" s="10">
        <v>3</v>
      </c>
      <c r="J44" s="9"/>
      <c r="K44" s="9"/>
      <c r="L44" s="9"/>
      <c r="M44" s="9"/>
      <c r="N44" s="9"/>
      <c r="O44" s="9"/>
      <c r="P44" s="9"/>
      <c r="Q44" s="9" t="s">
        <v>332</v>
      </c>
      <c r="R44" s="9"/>
      <c r="S44" s="9" t="s">
        <v>333</v>
      </c>
    </row>
    <row r="45" spans="1:19" x14ac:dyDescent="0.25">
      <c r="A45" s="9" t="s">
        <v>344</v>
      </c>
      <c r="B45" s="9" t="s">
        <v>72</v>
      </c>
      <c r="C45" s="9" t="s">
        <v>17</v>
      </c>
      <c r="D45" s="9" t="s">
        <v>25</v>
      </c>
      <c r="E45" s="9" t="str">
        <f>IF(G45&lt;Oversigt!$I$8,Oversigt!$H$8,IF(G45&lt;Oversigt!$I$9,Oversigt!$H$9,IF(G45&lt;Oversigt!$I$10,Oversigt!$H$10,IF(G45&lt;Oversigt!$I$11,Oversigt!$H$11,IF(G45&lt;Oversigt!$I$12,Oversigt!$H$12,Oversigt!$H$13)))))</f>
        <v>Uncommon</v>
      </c>
      <c r="F45" s="9" t="s">
        <v>144</v>
      </c>
      <c r="G45" s="10">
        <v>5</v>
      </c>
      <c r="H45" s="9" t="s">
        <v>94</v>
      </c>
      <c r="I45" s="10">
        <v>2</v>
      </c>
      <c r="J45" s="9"/>
      <c r="K45" s="9"/>
      <c r="L45" s="9"/>
      <c r="M45" s="9"/>
      <c r="N45" s="9"/>
      <c r="O45" s="9"/>
      <c r="P45" s="9"/>
      <c r="Q45" s="9" t="s">
        <v>98</v>
      </c>
      <c r="R45" s="9"/>
      <c r="S45" s="9" t="s">
        <v>345</v>
      </c>
    </row>
    <row r="46" spans="1:19" x14ac:dyDescent="0.25">
      <c r="A46" s="9" t="s">
        <v>347</v>
      </c>
      <c r="B46" s="9" t="s">
        <v>72</v>
      </c>
      <c r="C46" s="9" t="s">
        <v>17</v>
      </c>
      <c r="D46" s="9" t="s">
        <v>25</v>
      </c>
      <c r="E46" s="9" t="str">
        <f>IF(G46&lt;Oversigt!$I$8,Oversigt!$H$8,IF(G46&lt;Oversigt!$I$9,Oversigt!$H$9,IF(G46&lt;Oversigt!$I$10,Oversigt!$H$10,IF(G46&lt;Oversigt!$I$11,Oversigt!$H$11,IF(G46&lt;Oversigt!$I$12,Oversigt!$H$12,Oversigt!$H$13)))))</f>
        <v>Uncommon</v>
      </c>
      <c r="F46" s="9" t="s">
        <v>144</v>
      </c>
      <c r="G46" s="10">
        <v>5</v>
      </c>
      <c r="H46" s="9" t="s">
        <v>162</v>
      </c>
      <c r="I46" s="10">
        <v>25</v>
      </c>
      <c r="J46" s="9"/>
      <c r="K46" s="9"/>
      <c r="L46" s="9"/>
      <c r="M46" s="9"/>
      <c r="N46" s="9"/>
      <c r="O46" s="9"/>
      <c r="P46" s="9"/>
      <c r="Q46" s="9" t="s">
        <v>348</v>
      </c>
      <c r="R46" s="9"/>
      <c r="S46" s="9" t="s">
        <v>349</v>
      </c>
    </row>
    <row r="47" spans="1:19" x14ac:dyDescent="0.25">
      <c r="A47" s="9" t="s">
        <v>444</v>
      </c>
      <c r="B47" s="9" t="s">
        <v>72</v>
      </c>
      <c r="C47" s="9" t="s">
        <v>17</v>
      </c>
      <c r="D47" s="9" t="s">
        <v>25</v>
      </c>
      <c r="E47" s="9" t="str">
        <f>IF(G47&lt;Oversigt!$I$8,Oversigt!$H$8,IF(G47&lt;Oversigt!$I$9,Oversigt!$H$9,IF(G47&lt;Oversigt!$I$10,Oversigt!$H$10,IF(G47&lt;Oversigt!$I$11,Oversigt!$H$11,IF(G47&lt;Oversigt!$I$12,Oversigt!$H$12,Oversigt!$H$13)))))</f>
        <v>Uncommon</v>
      </c>
      <c r="F47" s="9" t="s">
        <v>144</v>
      </c>
      <c r="G47" s="10">
        <v>5</v>
      </c>
      <c r="H47" s="9" t="s">
        <v>249</v>
      </c>
      <c r="I47" s="10">
        <v>0.5</v>
      </c>
      <c r="J47" s="9"/>
      <c r="K47" s="9"/>
      <c r="L47" s="9"/>
      <c r="M47" s="9"/>
      <c r="N47" s="9"/>
      <c r="O47" s="9"/>
      <c r="P47" s="9"/>
      <c r="Q47" s="9" t="s">
        <v>79</v>
      </c>
      <c r="R47" s="9"/>
      <c r="S47" s="9" t="s">
        <v>445</v>
      </c>
    </row>
    <row r="48" spans="1:19" x14ac:dyDescent="0.25">
      <c r="A48" s="9" t="s">
        <v>480</v>
      </c>
      <c r="B48" s="9" t="s">
        <v>72</v>
      </c>
      <c r="C48" s="9" t="s">
        <v>17</v>
      </c>
      <c r="D48" s="9" t="s">
        <v>25</v>
      </c>
      <c r="E48" s="9" t="str">
        <f>IF(G48&lt;Oversigt!$I$8,Oversigt!$H$8,IF(G48&lt;Oversigt!$I$9,Oversigt!$H$9,IF(G48&lt;Oversigt!$I$10,Oversigt!$H$10,IF(G48&lt;Oversigt!$I$11,Oversigt!$H$11,IF(G48&lt;Oversigt!$I$12,Oversigt!$H$12,Oversigt!$H$13)))))</f>
        <v>Uncommon</v>
      </c>
      <c r="F48" s="9" t="s">
        <v>144</v>
      </c>
      <c r="G48" s="10">
        <v>5</v>
      </c>
      <c r="H48" s="9"/>
      <c r="I48" s="10"/>
      <c r="J48" s="9"/>
      <c r="K48" s="9"/>
      <c r="L48" s="9"/>
      <c r="M48" s="9"/>
      <c r="N48" s="9"/>
      <c r="O48" s="9"/>
      <c r="P48" s="9"/>
      <c r="Q48" s="9" t="s">
        <v>481</v>
      </c>
      <c r="R48" s="9"/>
      <c r="S48" s="9" t="s">
        <v>482</v>
      </c>
    </row>
    <row r="49" spans="1:19" x14ac:dyDescent="0.25">
      <c r="A49" s="9" t="s">
        <v>96</v>
      </c>
      <c r="B49" s="9" t="s">
        <v>72</v>
      </c>
      <c r="C49" s="9" t="s">
        <v>17</v>
      </c>
      <c r="D49" s="9" t="s">
        <v>25</v>
      </c>
      <c r="E49" s="9" t="str">
        <f>IF(G49&lt;Oversigt!$I$8,Oversigt!$H$8,IF(G49&lt;Oversigt!$I$9,Oversigt!$H$9,IF(G49&lt;Oversigt!$I$10,Oversigt!$H$10,IF(G49&lt;Oversigt!$I$11,Oversigt!$H$11,IF(G49&lt;Oversigt!$I$12,Oversigt!$H$12,Oversigt!$H$13)))))</f>
        <v>Rare</v>
      </c>
      <c r="F49" s="9" t="s">
        <v>97</v>
      </c>
      <c r="G49" s="10">
        <v>10</v>
      </c>
      <c r="H49" s="9" t="s">
        <v>94</v>
      </c>
      <c r="I49" s="10">
        <v>2</v>
      </c>
      <c r="J49" s="9"/>
      <c r="K49" s="9"/>
      <c r="L49" s="9"/>
      <c r="M49" s="9"/>
      <c r="N49" s="9"/>
      <c r="O49" s="9"/>
      <c r="P49" s="9"/>
      <c r="Q49" s="9" t="s">
        <v>98</v>
      </c>
      <c r="R49" s="9"/>
      <c r="S49" s="9" t="s">
        <v>99</v>
      </c>
    </row>
    <row r="50" spans="1:19" x14ac:dyDescent="0.25">
      <c r="A50" s="9" t="s">
        <v>350</v>
      </c>
      <c r="B50" s="9" t="s">
        <v>72</v>
      </c>
      <c r="C50" s="9" t="s">
        <v>17</v>
      </c>
      <c r="D50" s="9" t="s">
        <v>25</v>
      </c>
      <c r="E50" s="9" t="str">
        <f>IF(G50&lt;Oversigt!$I$8,Oversigt!$H$8,IF(G50&lt;Oversigt!$I$9,Oversigt!$H$9,IF(G50&lt;Oversigt!$I$10,Oversigt!$H$10,IF(G50&lt;Oversigt!$I$11,Oversigt!$H$11,IF(G50&lt;Oversigt!$I$12,Oversigt!$H$12,Oversigt!$H$13)))))</f>
        <v>Rare</v>
      </c>
      <c r="F50" s="9" t="s">
        <v>97</v>
      </c>
      <c r="G50" s="10">
        <v>10</v>
      </c>
      <c r="H50" s="9"/>
      <c r="I50" s="10"/>
      <c r="J50" s="9"/>
      <c r="K50" s="9"/>
      <c r="L50" s="9"/>
      <c r="M50" s="9"/>
      <c r="N50" s="9"/>
      <c r="O50" s="9"/>
      <c r="P50" s="9"/>
      <c r="Q50" s="9" t="s">
        <v>351</v>
      </c>
      <c r="R50" s="9"/>
      <c r="S50" s="9" t="s">
        <v>352</v>
      </c>
    </row>
    <row r="51" spans="1:19" x14ac:dyDescent="0.25">
      <c r="A51" s="9" t="s">
        <v>399</v>
      </c>
      <c r="B51" s="9" t="s">
        <v>72</v>
      </c>
      <c r="C51" s="9" t="s">
        <v>17</v>
      </c>
      <c r="D51" s="9" t="s">
        <v>25</v>
      </c>
      <c r="E51" s="9" t="str">
        <f>IF(G51&lt;Oversigt!$I$8,Oversigt!$H$8,IF(G51&lt;Oversigt!$I$9,Oversigt!$H$9,IF(G51&lt;Oversigt!$I$10,Oversigt!$H$10,IF(G51&lt;Oversigt!$I$11,Oversigt!$H$11,IF(G51&lt;Oversigt!$I$12,Oversigt!$H$12,Oversigt!$H$13)))))</f>
        <v>Rare</v>
      </c>
      <c r="F51" s="9" t="s">
        <v>97</v>
      </c>
      <c r="G51" s="10">
        <v>10</v>
      </c>
      <c r="H51" s="9" t="s">
        <v>74</v>
      </c>
      <c r="I51" s="10">
        <v>1</v>
      </c>
      <c r="J51" s="9"/>
      <c r="K51" s="9"/>
      <c r="L51" s="9"/>
      <c r="M51" s="9"/>
      <c r="N51" s="9"/>
      <c r="O51" s="9"/>
      <c r="P51" s="9"/>
      <c r="Q51" s="9" t="s">
        <v>400</v>
      </c>
      <c r="R51" s="9"/>
      <c r="S51" s="9" t="s">
        <v>401</v>
      </c>
    </row>
    <row r="52" spans="1:19" x14ac:dyDescent="0.25">
      <c r="A52" s="9" t="s">
        <v>535</v>
      </c>
      <c r="B52" s="9" t="s">
        <v>72</v>
      </c>
      <c r="C52" s="9" t="s">
        <v>17</v>
      </c>
      <c r="D52" s="9" t="s">
        <v>25</v>
      </c>
      <c r="E52" s="9" t="str">
        <f>IF(G52&lt;Oversigt!$I$8,Oversigt!$H$8,IF(G52&lt;Oversigt!$I$9,Oversigt!$H$9,IF(G52&lt;Oversigt!$I$10,Oversigt!$H$10,IF(G52&lt;Oversigt!$I$11,Oversigt!$H$11,IF(G52&lt;Oversigt!$I$12,Oversigt!$H$12,Oversigt!$H$13)))))</f>
        <v>Rare</v>
      </c>
      <c r="F52" s="9" t="s">
        <v>97</v>
      </c>
      <c r="G52" s="10">
        <v>10</v>
      </c>
      <c r="H52" s="9" t="s">
        <v>162</v>
      </c>
      <c r="I52" s="10">
        <v>25</v>
      </c>
      <c r="J52" s="9"/>
      <c r="K52" s="9"/>
      <c r="L52" s="9"/>
      <c r="M52" s="9"/>
      <c r="N52" s="9"/>
      <c r="O52" s="9"/>
      <c r="P52" s="9"/>
      <c r="Q52" s="9" t="s">
        <v>54</v>
      </c>
      <c r="R52" s="9"/>
      <c r="S52" s="9" t="s">
        <v>536</v>
      </c>
    </row>
    <row r="53" spans="1:19" x14ac:dyDescent="0.25">
      <c r="A53" s="9" t="s">
        <v>268</v>
      </c>
      <c r="B53" s="9" t="s">
        <v>72</v>
      </c>
      <c r="C53" s="9" t="s">
        <v>17</v>
      </c>
      <c r="D53" s="9" t="s">
        <v>25</v>
      </c>
      <c r="E53" s="9" t="str">
        <f>IF(G53&lt;Oversigt!$I$8,Oversigt!$H$8,IF(G53&lt;Oversigt!$I$9,Oversigt!$H$9,IF(G53&lt;Oversigt!$I$10,Oversigt!$H$10,IF(G53&lt;Oversigt!$I$11,Oversigt!$H$11,IF(G53&lt;Oversigt!$I$12,Oversigt!$H$12,Oversigt!$H$13)))))</f>
        <v>Rare</v>
      </c>
      <c r="F53" s="9" t="s">
        <v>139</v>
      </c>
      <c r="G53" s="10">
        <v>15</v>
      </c>
      <c r="H53" s="9" t="s">
        <v>128</v>
      </c>
      <c r="I53" s="10">
        <v>6</v>
      </c>
      <c r="J53" s="9"/>
      <c r="K53" s="9"/>
      <c r="L53" s="9"/>
      <c r="M53" s="9"/>
      <c r="N53" s="9"/>
      <c r="O53" s="9"/>
      <c r="P53" s="9"/>
      <c r="Q53" s="9" t="s">
        <v>269</v>
      </c>
      <c r="R53" s="9"/>
      <c r="S53" s="9" t="s">
        <v>270</v>
      </c>
    </row>
    <row r="54" spans="1:19" x14ac:dyDescent="0.25">
      <c r="A54" s="9" t="s">
        <v>441</v>
      </c>
      <c r="B54" s="9" t="s">
        <v>72</v>
      </c>
      <c r="C54" s="9" t="s">
        <v>17</v>
      </c>
      <c r="D54" s="9" t="s">
        <v>25</v>
      </c>
      <c r="E54" s="9" t="str">
        <f>IF(G54&lt;Oversigt!$I$8,Oversigt!$H$8,IF(G54&lt;Oversigt!$I$9,Oversigt!$H$9,IF(G54&lt;Oversigt!$I$10,Oversigt!$H$10,IF(G54&lt;Oversigt!$I$11,Oversigt!$H$11,IF(G54&lt;Oversigt!$I$12,Oversigt!$H$12,Oversigt!$H$13)))))</f>
        <v>Rare</v>
      </c>
      <c r="F54" s="9" t="s">
        <v>89</v>
      </c>
      <c r="G54" s="10">
        <v>20</v>
      </c>
      <c r="H54" s="9" t="s">
        <v>442</v>
      </c>
      <c r="I54" s="10">
        <v>30</v>
      </c>
      <c r="J54" s="9"/>
      <c r="K54" s="9"/>
      <c r="L54" s="9"/>
      <c r="M54" s="9"/>
      <c r="N54" s="9"/>
      <c r="O54" s="9"/>
      <c r="P54" s="9"/>
      <c r="Q54" s="9" t="s">
        <v>54</v>
      </c>
      <c r="R54" s="9"/>
      <c r="S54" s="9" t="s">
        <v>443</v>
      </c>
    </row>
    <row r="55" spans="1:19" x14ac:dyDescent="0.25">
      <c r="A55" s="9" t="s">
        <v>76</v>
      </c>
      <c r="B55" s="9" t="s">
        <v>72</v>
      </c>
      <c r="C55" s="9" t="s">
        <v>17</v>
      </c>
      <c r="D55" s="9" t="s">
        <v>25</v>
      </c>
      <c r="E55" s="9" t="str">
        <f>IF(G55&lt;Oversigt!$I$8,Oversigt!$H$8,IF(G55&lt;Oversigt!$I$9,Oversigt!$H$9,IF(G55&lt;Oversigt!$I$10,Oversigt!$H$10,IF(G55&lt;Oversigt!$I$11,Oversigt!$H$11,IF(G55&lt;Oversigt!$I$12,Oversigt!$H$12,Oversigt!$H$13)))))</f>
        <v>Rare</v>
      </c>
      <c r="F55" s="9" t="s">
        <v>77</v>
      </c>
      <c r="G55" s="10">
        <v>25</v>
      </c>
      <c r="H55" s="9" t="s">
        <v>78</v>
      </c>
      <c r="I55" s="10">
        <v>5</v>
      </c>
      <c r="J55" s="9"/>
      <c r="K55" s="9"/>
      <c r="L55" s="9"/>
      <c r="M55" s="9"/>
      <c r="N55" s="9"/>
      <c r="O55" s="9"/>
      <c r="P55" s="9"/>
      <c r="Q55" s="9" t="s">
        <v>79</v>
      </c>
      <c r="R55" s="9"/>
      <c r="S55" s="9" t="s">
        <v>80</v>
      </c>
    </row>
    <row r="56" spans="1:19" x14ac:dyDescent="0.25">
      <c r="A56" s="9" t="s">
        <v>164</v>
      </c>
      <c r="B56" s="9" t="s">
        <v>72</v>
      </c>
      <c r="C56" s="9" t="s">
        <v>17</v>
      </c>
      <c r="D56" s="9" t="s">
        <v>25</v>
      </c>
      <c r="E56" s="9" t="str">
        <f>IF(G56&lt;Oversigt!$I$8,Oversigt!$H$8,IF(G56&lt;Oversigt!$I$9,Oversigt!$H$9,IF(G56&lt;Oversigt!$I$10,Oversigt!$H$10,IF(G56&lt;Oversigt!$I$11,Oversigt!$H$11,IF(G56&lt;Oversigt!$I$12,Oversigt!$H$12,Oversigt!$H$13)))))</f>
        <v>Rare</v>
      </c>
      <c r="F56" s="9" t="s">
        <v>77</v>
      </c>
      <c r="G56" s="10">
        <v>25</v>
      </c>
      <c r="H56" s="9" t="s">
        <v>165</v>
      </c>
      <c r="I56" s="10">
        <v>12</v>
      </c>
      <c r="J56" s="9"/>
      <c r="K56" s="9"/>
      <c r="L56" s="9"/>
      <c r="M56" s="9"/>
      <c r="N56" s="9"/>
      <c r="O56" s="9"/>
      <c r="P56" s="9"/>
      <c r="Q56" s="9" t="s">
        <v>120</v>
      </c>
      <c r="R56" s="9"/>
      <c r="S56" s="9" t="s">
        <v>166</v>
      </c>
    </row>
    <row r="57" spans="1:19" x14ac:dyDescent="0.25">
      <c r="A57" s="9" t="s">
        <v>177</v>
      </c>
      <c r="B57" s="9" t="s">
        <v>72</v>
      </c>
      <c r="C57" s="9" t="s">
        <v>17</v>
      </c>
      <c r="D57" s="9" t="s">
        <v>25</v>
      </c>
      <c r="E57" s="9" t="str">
        <f>IF(G57&lt;Oversigt!$I$8,Oversigt!$H$8,IF(G57&lt;Oversigt!$I$9,Oversigt!$H$9,IF(G57&lt;Oversigt!$I$10,Oversigt!$H$10,IF(G57&lt;Oversigt!$I$11,Oversigt!$H$11,IF(G57&lt;Oversigt!$I$12,Oversigt!$H$12,Oversigt!$H$13)))))</f>
        <v>Rare</v>
      </c>
      <c r="F57" s="9" t="s">
        <v>77</v>
      </c>
      <c r="G57" s="10">
        <v>25</v>
      </c>
      <c r="H57" s="9" t="s">
        <v>94</v>
      </c>
      <c r="I57" s="10">
        <v>2</v>
      </c>
      <c r="J57" s="9"/>
      <c r="K57" s="9"/>
      <c r="L57" s="9"/>
      <c r="M57" s="9"/>
      <c r="N57" s="9"/>
      <c r="O57" s="9"/>
      <c r="P57" s="9"/>
      <c r="Q57" s="9" t="s">
        <v>178</v>
      </c>
      <c r="R57" s="9"/>
      <c r="S57" s="9" t="s">
        <v>179</v>
      </c>
    </row>
    <row r="58" spans="1:19" x14ac:dyDescent="0.25">
      <c r="A58" s="9" t="s">
        <v>341</v>
      </c>
      <c r="B58" s="9" t="s">
        <v>72</v>
      </c>
      <c r="C58" s="9" t="s">
        <v>17</v>
      </c>
      <c r="D58" s="9" t="s">
        <v>25</v>
      </c>
      <c r="E58" s="9" t="str">
        <f>IF(G58&lt;Oversigt!$I$8,Oversigt!$H$8,IF(G58&lt;Oversigt!$I$9,Oversigt!$H$9,IF(G58&lt;Oversigt!$I$10,Oversigt!$H$10,IF(G58&lt;Oversigt!$I$11,Oversigt!$H$11,IF(G58&lt;Oversigt!$I$12,Oversigt!$H$12,Oversigt!$H$13)))))</f>
        <v>Rare</v>
      </c>
      <c r="F58" s="9" t="s">
        <v>77</v>
      </c>
      <c r="G58" s="10">
        <v>25</v>
      </c>
      <c r="H58" s="9" t="s">
        <v>74</v>
      </c>
      <c r="I58" s="10">
        <v>1</v>
      </c>
      <c r="J58" s="9"/>
      <c r="K58" s="9"/>
      <c r="L58" s="9"/>
      <c r="M58" s="9"/>
      <c r="N58" s="9"/>
      <c r="O58" s="9"/>
      <c r="P58" s="9"/>
      <c r="Q58" s="9" t="s">
        <v>342</v>
      </c>
      <c r="R58" s="9"/>
      <c r="S58" s="9" t="s">
        <v>343</v>
      </c>
    </row>
    <row r="59" spans="1:19" x14ac:dyDescent="0.25">
      <c r="A59" s="9" t="s">
        <v>318</v>
      </c>
      <c r="B59" s="9" t="s">
        <v>72</v>
      </c>
      <c r="C59" s="9" t="s">
        <v>17</v>
      </c>
      <c r="D59" s="9" t="s">
        <v>24</v>
      </c>
      <c r="E59" s="9" t="str">
        <f>IF(G59&lt;Oversigt!$I$8,Oversigt!$H$8,IF(G59&lt;Oversigt!$I$9,Oversigt!$H$9,IF(G59&lt;Oversigt!$I$10,Oversigt!$H$10,IF(G59&lt;Oversigt!$I$11,Oversigt!$H$11,IF(G59&lt;Oversigt!$I$12,Oversigt!$H$12,Oversigt!$H$13)))))</f>
        <v>Rare</v>
      </c>
      <c r="F59" s="9" t="s">
        <v>319</v>
      </c>
      <c r="G59" s="10">
        <v>35</v>
      </c>
      <c r="H59" s="9" t="s">
        <v>94</v>
      </c>
      <c r="I59" s="10">
        <v>2</v>
      </c>
      <c r="J59" s="9"/>
      <c r="K59" s="9"/>
      <c r="L59" s="9"/>
      <c r="M59" s="9"/>
      <c r="N59" s="9"/>
      <c r="O59" s="9"/>
      <c r="P59" s="9"/>
      <c r="Q59" s="9" t="s">
        <v>48</v>
      </c>
      <c r="R59" s="9"/>
      <c r="S59" s="9" t="s">
        <v>320</v>
      </c>
    </row>
    <row r="60" spans="1:19" x14ac:dyDescent="0.25">
      <c r="A60" s="9" t="s">
        <v>607</v>
      </c>
      <c r="B60" s="9" t="s">
        <v>72</v>
      </c>
      <c r="C60" s="9" t="s">
        <v>17</v>
      </c>
      <c r="D60" s="9" t="s">
        <v>24</v>
      </c>
      <c r="E60" s="9" t="str">
        <f>IF(G60&lt;Oversigt!$I$8,Oversigt!$H$8,IF(G60&lt;Oversigt!$I$9,Oversigt!$H$9,IF(G60&lt;Oversigt!$I$10,Oversigt!$H$10,IF(G60&lt;Oversigt!$I$11,Oversigt!$H$11,IF(G60&lt;Oversigt!$I$12,Oversigt!$H$12,Oversigt!$H$13)))))</f>
        <v>Very Rare</v>
      </c>
      <c r="F60" s="9" t="s">
        <v>119</v>
      </c>
      <c r="G60" s="10">
        <v>50</v>
      </c>
      <c r="H60" s="9" t="s">
        <v>94</v>
      </c>
      <c r="I60" s="10">
        <v>2</v>
      </c>
      <c r="J60" s="9"/>
      <c r="K60" s="9"/>
      <c r="L60" s="9"/>
      <c r="M60" s="9"/>
      <c r="N60" s="9"/>
      <c r="O60" s="9"/>
      <c r="P60" s="9"/>
      <c r="Q60" s="9" t="s">
        <v>48</v>
      </c>
      <c r="R60" s="9"/>
      <c r="S60" s="9" t="s">
        <v>608</v>
      </c>
    </row>
    <row r="61" spans="1:19" x14ac:dyDescent="0.25">
      <c r="A61" s="9" t="s">
        <v>259</v>
      </c>
      <c r="B61" s="9" t="s">
        <v>72</v>
      </c>
      <c r="C61" s="9" t="s">
        <v>17</v>
      </c>
      <c r="D61" s="9" t="s">
        <v>25</v>
      </c>
      <c r="E61" s="9" t="str">
        <f>IF(G61&lt;Oversigt!$I$8,Oversigt!$H$8,IF(G61&lt;Oversigt!$I$9,Oversigt!$H$9,IF(G61&lt;Oversigt!$I$10,Oversigt!$H$10,IF(G61&lt;Oversigt!$I$11,Oversigt!$H$11,IF(G61&lt;Oversigt!$I$12,Oversigt!$H$12,Oversigt!$H$13)))))</f>
        <v>Very Rare</v>
      </c>
      <c r="F61" s="9" t="s">
        <v>260</v>
      </c>
      <c r="G61" s="10">
        <v>60</v>
      </c>
      <c r="H61" s="9" t="s">
        <v>261</v>
      </c>
      <c r="I61" s="10">
        <v>40</v>
      </c>
      <c r="J61" s="9"/>
      <c r="K61" s="9"/>
      <c r="L61" s="9"/>
      <c r="M61" s="9"/>
      <c r="N61" s="9"/>
      <c r="O61" s="9"/>
      <c r="P61" s="9"/>
      <c r="Q61" s="9" t="s">
        <v>54</v>
      </c>
      <c r="R61" s="9"/>
      <c r="S61" s="9" t="s">
        <v>262</v>
      </c>
    </row>
    <row r="62" spans="1:19" x14ac:dyDescent="0.25">
      <c r="A62" s="9" t="s">
        <v>71</v>
      </c>
      <c r="B62" s="9" t="s">
        <v>72</v>
      </c>
      <c r="C62" s="9" t="s">
        <v>17</v>
      </c>
      <c r="D62" s="9" t="s">
        <v>24</v>
      </c>
      <c r="E62" s="9" t="str">
        <f>IF(G62&lt;Oversigt!$I$8,Oversigt!$H$8,IF(G62&lt;Oversigt!$I$9,Oversigt!$H$9,IF(G62&lt;Oversigt!$I$10,Oversigt!$H$10,IF(G62&lt;Oversigt!$I$11,Oversigt!$H$11,IF(G62&lt;Oversigt!$I$12,Oversigt!$H$12,Oversigt!$H$13)))))</f>
        <v>Very Rare</v>
      </c>
      <c r="F62" s="9" t="s">
        <v>73</v>
      </c>
      <c r="G62" s="10">
        <v>100</v>
      </c>
      <c r="H62" s="9" t="s">
        <v>74</v>
      </c>
      <c r="I62" s="10">
        <v>1</v>
      </c>
      <c r="J62" s="9"/>
      <c r="K62" s="9"/>
      <c r="L62" s="9"/>
      <c r="M62" s="9"/>
      <c r="N62" s="9"/>
      <c r="O62" s="9"/>
      <c r="P62" s="9"/>
      <c r="Q62" s="9" t="s">
        <v>48</v>
      </c>
      <c r="R62" s="9"/>
      <c r="S62" s="9" t="s">
        <v>75</v>
      </c>
    </row>
    <row r="63" spans="1:19" x14ac:dyDescent="0.25">
      <c r="A63" s="9" t="s">
        <v>418</v>
      </c>
      <c r="B63" s="9" t="s">
        <v>72</v>
      </c>
      <c r="C63" s="9" t="s">
        <v>17</v>
      </c>
      <c r="D63" s="9" t="s">
        <v>25</v>
      </c>
      <c r="E63" s="9" t="str">
        <f>IF(G63&lt;Oversigt!$I$8,Oversigt!$H$8,IF(G63&lt;Oversigt!$I$9,Oversigt!$H$9,IF(G63&lt;Oversigt!$I$10,Oversigt!$H$10,IF(G63&lt;Oversigt!$I$11,Oversigt!$H$11,IF(G63&lt;Oversigt!$I$12,Oversigt!$H$12,Oversigt!$H$13)))))</f>
        <v>Very Rare</v>
      </c>
      <c r="F63" s="9" t="s">
        <v>73</v>
      </c>
      <c r="G63" s="10">
        <v>100</v>
      </c>
      <c r="H63" s="9"/>
      <c r="I63" s="10"/>
      <c r="J63" s="9"/>
      <c r="K63" s="9"/>
      <c r="L63" s="9"/>
      <c r="M63" s="9"/>
      <c r="N63" s="9"/>
      <c r="O63" s="9"/>
      <c r="P63" s="9"/>
      <c r="Q63" s="9" t="s">
        <v>419</v>
      </c>
      <c r="R63" s="9"/>
      <c r="S63" s="9" t="s">
        <v>420</v>
      </c>
    </row>
    <row r="64" spans="1:19" x14ac:dyDescent="0.25">
      <c r="A64" s="9" t="s">
        <v>316</v>
      </c>
      <c r="B64" s="9" t="s">
        <v>72</v>
      </c>
      <c r="C64" s="9" t="s">
        <v>17</v>
      </c>
      <c r="D64" s="9" t="s">
        <v>24</v>
      </c>
      <c r="E64" s="9" t="str">
        <f>IF(G64&lt;Oversigt!$I$8,Oversigt!$H$8,IF(G64&lt;Oversigt!$I$9,Oversigt!$H$9,IF(G64&lt;Oversigt!$I$10,Oversigt!$H$10,IF(G64&lt;Oversigt!$I$11,Oversigt!$H$11,IF(G64&lt;Oversigt!$I$12,Oversigt!$H$12,Oversigt!$H$13)))))</f>
        <v>Legendary</v>
      </c>
      <c r="F64" s="9" t="s">
        <v>159</v>
      </c>
      <c r="G64" s="10">
        <v>250</v>
      </c>
      <c r="H64" s="9" t="s">
        <v>84</v>
      </c>
      <c r="I64" s="10">
        <v>20</v>
      </c>
      <c r="J64" s="9"/>
      <c r="K64" s="9"/>
      <c r="L64" s="9"/>
      <c r="M64" s="9"/>
      <c r="N64" s="9"/>
      <c r="O64" s="9"/>
      <c r="P64" s="9"/>
      <c r="Q64" s="9" t="s">
        <v>48</v>
      </c>
      <c r="R64" s="9"/>
      <c r="S64" s="9" t="s">
        <v>317</v>
      </c>
    </row>
    <row r="65" spans="1:19" x14ac:dyDescent="0.25">
      <c r="A65" s="9" t="s">
        <v>621</v>
      </c>
      <c r="B65" s="9" t="s">
        <v>72</v>
      </c>
      <c r="C65" s="9" t="s">
        <v>17</v>
      </c>
      <c r="D65" s="9" t="s">
        <v>25</v>
      </c>
      <c r="E65" s="9" t="str">
        <f>IF(G65&lt;Oversigt!$I$8,Oversigt!$H$8,IF(G65&lt;Oversigt!$I$9,Oversigt!$H$9,IF(G65&lt;Oversigt!$I$10,Oversigt!$H$10,IF(G65&lt;Oversigt!$I$11,Oversigt!$H$11,IF(G65&lt;Oversigt!$I$12,Oversigt!$H$12,Oversigt!$H$13)))))</f>
        <v>Legendary</v>
      </c>
      <c r="F65" s="9" t="s">
        <v>622</v>
      </c>
      <c r="G65" s="10">
        <v>1000</v>
      </c>
      <c r="H65" s="9" t="s">
        <v>74</v>
      </c>
      <c r="I65" s="10">
        <v>1</v>
      </c>
      <c r="J65" s="9"/>
      <c r="K65" s="9"/>
      <c r="L65" s="9"/>
      <c r="M65" s="9"/>
      <c r="N65" s="9"/>
      <c r="O65" s="9"/>
      <c r="P65" s="9"/>
      <c r="Q65" s="9" t="s">
        <v>623</v>
      </c>
      <c r="R65" s="9"/>
      <c r="S65" s="9" t="s">
        <v>624</v>
      </c>
    </row>
    <row r="66" spans="1:19" x14ac:dyDescent="0.25">
      <c r="A66" s="9" t="s">
        <v>241</v>
      </c>
      <c r="B66" s="9" t="s">
        <v>72</v>
      </c>
      <c r="C66" s="9" t="s">
        <v>17</v>
      </c>
      <c r="D66" s="9" t="s">
        <v>24</v>
      </c>
      <c r="E66" s="9" t="str">
        <f>IF(G66&lt;Oversigt!$I$8,Oversigt!$H$8,IF(G66&lt;Oversigt!$I$9,Oversigt!$H$9,IF(G66&lt;Oversigt!$I$10,Oversigt!$H$10,IF(G66&lt;Oversigt!$I$11,Oversigt!$H$11,IF(G66&lt;Oversigt!$I$12,Oversigt!$H$12,Oversigt!$H$13)))))</f>
        <v>Common</v>
      </c>
      <c r="F66" s="9"/>
      <c r="G66" s="10"/>
      <c r="H66" s="9" t="s">
        <v>74</v>
      </c>
      <c r="I66" s="10">
        <v>1</v>
      </c>
      <c r="J66" s="9"/>
      <c r="K66" s="9"/>
      <c r="L66" s="9"/>
      <c r="M66" s="9"/>
      <c r="N66" s="9"/>
      <c r="O66" s="9"/>
      <c r="P66" s="9"/>
      <c r="Q66" s="9" t="s">
        <v>48</v>
      </c>
      <c r="R66" s="9"/>
      <c r="S66" s="9" t="s">
        <v>242</v>
      </c>
    </row>
    <row r="67" spans="1:19" x14ac:dyDescent="0.25">
      <c r="A67" s="9" t="s">
        <v>283</v>
      </c>
      <c r="B67" s="9" t="s">
        <v>72</v>
      </c>
      <c r="C67" s="9" t="s">
        <v>17</v>
      </c>
      <c r="D67" s="9" t="s">
        <v>24</v>
      </c>
      <c r="E67" s="9" t="str">
        <f>IF(G67&lt;Oversigt!$I$8,Oversigt!$H$8,IF(G67&lt;Oversigt!$I$9,Oversigt!$H$9,IF(G67&lt;Oversigt!$I$10,Oversigt!$H$10,IF(G67&lt;Oversigt!$I$11,Oversigt!$H$11,IF(G67&lt;Oversigt!$I$12,Oversigt!$H$12,Oversigt!$H$13)))))</f>
        <v>Common</v>
      </c>
      <c r="F67" s="9"/>
      <c r="G67" s="10"/>
      <c r="H67" s="9" t="s">
        <v>74</v>
      </c>
      <c r="I67" s="10">
        <v>1</v>
      </c>
      <c r="J67" s="9"/>
      <c r="K67" s="9"/>
      <c r="L67" s="9"/>
      <c r="M67" s="9"/>
      <c r="N67" s="9"/>
      <c r="O67" s="9"/>
      <c r="P67" s="9"/>
      <c r="Q67" s="9" t="s">
        <v>48</v>
      </c>
      <c r="R67" s="9"/>
      <c r="S67" s="9" t="s">
        <v>284</v>
      </c>
    </row>
    <row r="68" spans="1:19" x14ac:dyDescent="0.25">
      <c r="A68" s="9" t="s">
        <v>314</v>
      </c>
      <c r="B68" s="9" t="s">
        <v>72</v>
      </c>
      <c r="C68" s="9" t="s">
        <v>17</v>
      </c>
      <c r="D68" s="9" t="s">
        <v>24</v>
      </c>
      <c r="E68" s="9" t="str">
        <f>IF(G68&lt;Oversigt!$I$8,Oversigt!$H$8,IF(G68&lt;Oversigt!$I$9,Oversigt!$H$9,IF(G68&lt;Oversigt!$I$10,Oversigt!$H$10,IF(G68&lt;Oversigt!$I$11,Oversigt!$H$11,IF(G68&lt;Oversigt!$I$12,Oversigt!$H$12,Oversigt!$H$13)))))</f>
        <v>Common</v>
      </c>
      <c r="F68" s="9"/>
      <c r="G68" s="10"/>
      <c r="H68" s="9" t="s">
        <v>302</v>
      </c>
      <c r="I68" s="10">
        <v>7</v>
      </c>
      <c r="J68" s="9"/>
      <c r="K68" s="9"/>
      <c r="L68" s="9"/>
      <c r="M68" s="9"/>
      <c r="N68" s="9"/>
      <c r="O68" s="9"/>
      <c r="P68" s="9"/>
      <c r="Q68" s="9" t="s">
        <v>48</v>
      </c>
      <c r="R68" s="9"/>
      <c r="S68" s="9" t="s">
        <v>315</v>
      </c>
    </row>
    <row r="69" spans="1:19" x14ac:dyDescent="0.25">
      <c r="A69" s="9" t="s">
        <v>601</v>
      </c>
      <c r="B69" s="9" t="s">
        <v>10</v>
      </c>
      <c r="C69" s="9" t="s">
        <v>10</v>
      </c>
      <c r="D69" s="9" t="s">
        <v>25</v>
      </c>
      <c r="E69" s="9" t="str">
        <f>IF(G69&lt;Oversigt!$I$8,Oversigt!$H$8,IF(G69&lt;Oversigt!$I$9,Oversigt!$H$9,IF(G69&lt;Oversigt!$I$10,Oversigt!$H$10,IF(G69&lt;Oversigt!$I$11,Oversigt!$H$11,IF(G69&lt;Oversigt!$I$12,Oversigt!$H$12,Oversigt!$H$13)))))</f>
        <v>Common</v>
      </c>
      <c r="F69" s="9" t="s">
        <v>602</v>
      </c>
      <c r="G69" s="10">
        <v>0.04</v>
      </c>
      <c r="H69" s="9" t="s">
        <v>603</v>
      </c>
      <c r="I69" s="10">
        <v>1.5</v>
      </c>
      <c r="J69" s="9"/>
      <c r="K69" s="9"/>
      <c r="L69" s="9"/>
      <c r="M69" s="9"/>
      <c r="N69" s="9"/>
      <c r="O69" s="9"/>
      <c r="P69" s="9"/>
      <c r="Q69" s="9" t="s">
        <v>173</v>
      </c>
      <c r="R69" s="9"/>
      <c r="S69" s="9" t="s">
        <v>604</v>
      </c>
    </row>
    <row r="70" spans="1:19" x14ac:dyDescent="0.25">
      <c r="A70" s="9" t="s">
        <v>455</v>
      </c>
      <c r="B70" s="9" t="s">
        <v>10</v>
      </c>
      <c r="C70" s="9" t="s">
        <v>10</v>
      </c>
      <c r="D70" s="9" t="s">
        <v>25</v>
      </c>
      <c r="E70" s="9" t="str">
        <f>IF(G70&lt;Oversigt!$I$8,Oversigt!$H$8,IF(G70&lt;Oversigt!$I$9,Oversigt!$H$9,IF(G70&lt;Oversigt!$I$10,Oversigt!$H$10,IF(G70&lt;Oversigt!$I$11,Oversigt!$H$11,IF(G70&lt;Oversigt!$I$12,Oversigt!$H$12,Oversigt!$H$13)))))</f>
        <v>Common</v>
      </c>
      <c r="F70" s="9" t="s">
        <v>114</v>
      </c>
      <c r="G70" s="10">
        <v>1</v>
      </c>
      <c r="H70" s="9" t="s">
        <v>74</v>
      </c>
      <c r="I70" s="10">
        <v>1</v>
      </c>
      <c r="J70" s="9"/>
      <c r="K70" s="9"/>
      <c r="L70" s="9"/>
      <c r="M70" s="9"/>
      <c r="N70" s="9"/>
      <c r="O70" s="9"/>
      <c r="P70" s="9"/>
      <c r="Q70" s="9" t="s">
        <v>173</v>
      </c>
      <c r="R70" s="9"/>
      <c r="S70" s="9" t="s">
        <v>456</v>
      </c>
    </row>
    <row r="71" spans="1:19" x14ac:dyDescent="0.25">
      <c r="A71" s="9" t="s">
        <v>271</v>
      </c>
      <c r="B71" s="9" t="s">
        <v>10</v>
      </c>
      <c r="C71" s="9" t="s">
        <v>10</v>
      </c>
      <c r="D71" s="9" t="s">
        <v>25</v>
      </c>
      <c r="E71" s="9" t="str">
        <f>IF(G71&lt;Oversigt!$I$8,Oversigt!$H$8,IF(G71&lt;Oversigt!$I$9,Oversigt!$H$9,IF(G71&lt;Oversigt!$I$10,Oversigt!$H$10,IF(G71&lt;Oversigt!$I$11,Oversigt!$H$11,IF(G71&lt;Oversigt!$I$12,Oversigt!$H$12,Oversigt!$H$13)))))</f>
        <v>Uncommon</v>
      </c>
      <c r="F71" s="9" t="s">
        <v>272</v>
      </c>
      <c r="G71" s="10">
        <v>3</v>
      </c>
      <c r="H71" s="9" t="s">
        <v>94</v>
      </c>
      <c r="I71" s="10">
        <v>2</v>
      </c>
      <c r="J71" s="9"/>
      <c r="K71" s="9"/>
      <c r="L71" s="9"/>
      <c r="M71" s="9"/>
      <c r="N71" s="9"/>
      <c r="O71" s="9"/>
      <c r="P71" s="9"/>
      <c r="Q71" s="9"/>
      <c r="R71" s="9"/>
      <c r="S71" s="9" t="s">
        <v>273</v>
      </c>
    </row>
    <row r="72" spans="1:19" x14ac:dyDescent="0.25">
      <c r="A72" s="9" t="s">
        <v>248</v>
      </c>
      <c r="B72" s="9" t="s">
        <v>10</v>
      </c>
      <c r="C72" s="9" t="s">
        <v>10</v>
      </c>
      <c r="D72" s="9" t="s">
        <v>23</v>
      </c>
      <c r="E72" s="9" t="str">
        <f>IF(G72&lt;Oversigt!$I$8,Oversigt!$H$8,IF(G72&lt;Oversigt!$I$9,Oversigt!$H$9,IF(G72&lt;Oversigt!$I$10,Oversigt!$H$10,IF(G72&lt;Oversigt!$I$11,Oversigt!$H$11,IF(G72&lt;Oversigt!$I$12,Oversigt!$H$12,Oversigt!$H$13)))))</f>
        <v>Common</v>
      </c>
      <c r="F72" s="9"/>
      <c r="G72" s="10"/>
      <c r="H72" s="9" t="s">
        <v>249</v>
      </c>
      <c r="I72" s="10">
        <v>0.5</v>
      </c>
      <c r="J72" s="9"/>
      <c r="K72" s="9"/>
      <c r="L72" s="9"/>
      <c r="M72" s="9"/>
      <c r="N72" s="9"/>
      <c r="O72" s="9"/>
      <c r="P72" s="9"/>
      <c r="Q72" s="9" t="s">
        <v>173</v>
      </c>
      <c r="R72" s="9"/>
      <c r="S72" s="9" t="s">
        <v>250</v>
      </c>
    </row>
    <row r="73" spans="1:19" x14ac:dyDescent="0.25">
      <c r="A73" s="9" t="s">
        <v>625</v>
      </c>
      <c r="B73" s="9" t="s">
        <v>210</v>
      </c>
      <c r="C73" s="9" t="s">
        <v>11</v>
      </c>
      <c r="D73" s="9" t="s">
        <v>25</v>
      </c>
      <c r="E73" s="9" t="str">
        <f>IF(G73&lt;Oversigt!$I$8,Oversigt!$H$8,IF(G73&lt;Oversigt!$I$9,Oversigt!$H$9,IF(G73&lt;Oversigt!$I$10,Oversigt!$H$10,IF(G73&lt;Oversigt!$I$11,Oversigt!$H$11,IF(G73&lt;Oversigt!$I$12,Oversigt!$H$12,Oversigt!$H$13)))))</f>
        <v>Uncommon</v>
      </c>
      <c r="F73" s="9" t="s">
        <v>144</v>
      </c>
      <c r="G73" s="10">
        <v>5</v>
      </c>
      <c r="H73" s="9" t="s">
        <v>184</v>
      </c>
      <c r="I73" s="10">
        <v>4</v>
      </c>
      <c r="J73" s="9"/>
      <c r="K73" s="9"/>
      <c r="L73" s="9"/>
      <c r="M73" s="9"/>
      <c r="N73" s="9"/>
      <c r="O73" s="9"/>
      <c r="P73" s="9"/>
      <c r="Q73" s="9" t="s">
        <v>54</v>
      </c>
      <c r="R73" s="9"/>
      <c r="S73" s="9" t="s">
        <v>211</v>
      </c>
    </row>
    <row r="74" spans="1:19" x14ac:dyDescent="0.25">
      <c r="A74" s="9" t="s">
        <v>209</v>
      </c>
      <c r="B74" s="9" t="s">
        <v>210</v>
      </c>
      <c r="C74" s="9" t="s">
        <v>11</v>
      </c>
      <c r="D74" s="9" t="s">
        <v>25</v>
      </c>
      <c r="E74" s="9" t="str">
        <f>IF(G74&lt;Oversigt!$I$8,Oversigt!$H$8,IF(G74&lt;Oversigt!$I$9,Oversigt!$H$9,IF(G74&lt;Oversigt!$I$10,Oversigt!$H$10,IF(G74&lt;Oversigt!$I$11,Oversigt!$H$11,IF(G74&lt;Oversigt!$I$12,Oversigt!$H$12,Oversigt!$H$13)))))</f>
        <v>Rare</v>
      </c>
      <c r="F74" s="9" t="s">
        <v>97</v>
      </c>
      <c r="G74" s="10">
        <v>10</v>
      </c>
      <c r="H74" s="9" t="s">
        <v>74</v>
      </c>
      <c r="I74" s="10">
        <v>1</v>
      </c>
      <c r="J74" s="9"/>
      <c r="K74" s="9"/>
      <c r="L74" s="9"/>
      <c r="M74" s="9"/>
      <c r="N74" s="9"/>
      <c r="O74" s="9"/>
      <c r="P74" s="9"/>
      <c r="Q74" s="9" t="s">
        <v>54</v>
      </c>
      <c r="R74" s="9"/>
      <c r="S74" s="9" t="s">
        <v>211</v>
      </c>
    </row>
    <row r="75" spans="1:19" x14ac:dyDescent="0.25">
      <c r="A75" s="9" t="s">
        <v>549</v>
      </c>
      <c r="B75" s="9" t="s">
        <v>210</v>
      </c>
      <c r="C75" s="9" t="s">
        <v>11</v>
      </c>
      <c r="D75" s="9" t="s">
        <v>25</v>
      </c>
      <c r="E75" s="9" t="str">
        <f>IF(G75&lt;Oversigt!$I$8,Oversigt!$H$8,IF(G75&lt;Oversigt!$I$9,Oversigt!$H$9,IF(G75&lt;Oversigt!$I$10,Oversigt!$H$10,IF(G75&lt;Oversigt!$I$11,Oversigt!$H$11,IF(G75&lt;Oversigt!$I$12,Oversigt!$H$12,Oversigt!$H$13)))))</f>
        <v>Rare</v>
      </c>
      <c r="F75" s="9" t="s">
        <v>97</v>
      </c>
      <c r="G75" s="10">
        <v>10</v>
      </c>
      <c r="H75" s="9" t="s">
        <v>94</v>
      </c>
      <c r="I75" s="10">
        <v>2</v>
      </c>
      <c r="J75" s="9"/>
      <c r="K75" s="9"/>
      <c r="L75" s="9"/>
      <c r="M75" s="9"/>
      <c r="N75" s="9"/>
      <c r="O75" s="9"/>
      <c r="P75" s="9"/>
      <c r="Q75" s="9" t="s">
        <v>54</v>
      </c>
      <c r="R75" s="9"/>
      <c r="S75" s="9" t="s">
        <v>211</v>
      </c>
    </row>
    <row r="76" spans="1:19" x14ac:dyDescent="0.25">
      <c r="A76" s="9" t="s">
        <v>661</v>
      </c>
      <c r="B76" s="9" t="s">
        <v>210</v>
      </c>
      <c r="C76" s="9" t="s">
        <v>11</v>
      </c>
      <c r="D76" s="9" t="s">
        <v>25</v>
      </c>
      <c r="E76" s="9" t="str">
        <f>IF(G76&lt;Oversigt!$I$8,Oversigt!$H$8,IF(G76&lt;Oversigt!$I$9,Oversigt!$H$9,IF(G76&lt;Oversigt!$I$10,Oversigt!$H$10,IF(G76&lt;Oversigt!$I$11,Oversigt!$H$11,IF(G76&lt;Oversigt!$I$12,Oversigt!$H$12,Oversigt!$H$13)))))</f>
        <v>Rare</v>
      </c>
      <c r="F76" s="9" t="s">
        <v>97</v>
      </c>
      <c r="G76" s="10">
        <v>10</v>
      </c>
      <c r="H76" s="9" t="s">
        <v>74</v>
      </c>
      <c r="I76" s="10">
        <v>1</v>
      </c>
      <c r="J76" s="9"/>
      <c r="K76" s="9"/>
      <c r="L76" s="9"/>
      <c r="M76" s="9"/>
      <c r="N76" s="9"/>
      <c r="O76" s="9"/>
      <c r="P76" s="9"/>
      <c r="Q76" s="9" t="s">
        <v>54</v>
      </c>
      <c r="R76" s="9"/>
      <c r="S76" s="9" t="s">
        <v>211</v>
      </c>
    </row>
    <row r="77" spans="1:19" x14ac:dyDescent="0.25">
      <c r="A77" s="9" t="s">
        <v>468</v>
      </c>
      <c r="B77" s="9" t="s">
        <v>210</v>
      </c>
      <c r="C77" s="9" t="s">
        <v>11</v>
      </c>
      <c r="D77" s="9" t="s">
        <v>25</v>
      </c>
      <c r="E77" s="9" t="str">
        <f>IF(G77&lt;Oversigt!$I$8,Oversigt!$H$8,IF(G77&lt;Oversigt!$I$9,Oversigt!$H$9,IF(G77&lt;Oversigt!$I$10,Oversigt!$H$10,IF(G77&lt;Oversigt!$I$11,Oversigt!$H$11,IF(G77&lt;Oversigt!$I$12,Oversigt!$H$12,Oversigt!$H$13)))))</f>
        <v>Rare</v>
      </c>
      <c r="F77" s="9" t="s">
        <v>89</v>
      </c>
      <c r="G77" s="10">
        <v>20</v>
      </c>
      <c r="H77" s="9" t="s">
        <v>191</v>
      </c>
      <c r="I77" s="10">
        <v>3</v>
      </c>
      <c r="J77" s="9"/>
      <c r="K77" s="9"/>
      <c r="L77" s="9"/>
      <c r="M77" s="9"/>
      <c r="N77" s="9"/>
      <c r="O77" s="9"/>
      <c r="P77" s="9"/>
      <c r="Q77" s="9" t="s">
        <v>54</v>
      </c>
      <c r="R77" s="9"/>
      <c r="S77" s="9" t="s">
        <v>211</v>
      </c>
    </row>
    <row r="78" spans="1:19" x14ac:dyDescent="0.25">
      <c r="A78" s="9" t="s">
        <v>619</v>
      </c>
      <c r="B78" s="9" t="s">
        <v>232</v>
      </c>
      <c r="C78" s="9" t="s">
        <v>11</v>
      </c>
      <c r="D78" s="9" t="s">
        <v>25</v>
      </c>
      <c r="E78" s="9" t="str">
        <f>IF(G78&lt;Oversigt!$I$8,Oversigt!$H$8,IF(G78&lt;Oversigt!$I$9,Oversigt!$H$9,IF(G78&lt;Oversigt!$I$10,Oversigt!$H$10,IF(G78&lt;Oversigt!$I$11,Oversigt!$H$11,IF(G78&lt;Oversigt!$I$12,Oversigt!$H$12,Oversigt!$H$13)))))</f>
        <v>Common</v>
      </c>
      <c r="F78" s="9" t="s">
        <v>114</v>
      </c>
      <c r="G78" s="10">
        <v>1</v>
      </c>
      <c r="H78" s="9"/>
      <c r="I78" s="10"/>
      <c r="J78" s="9"/>
      <c r="K78" s="9"/>
      <c r="L78" s="9"/>
      <c r="M78" s="9"/>
      <c r="N78" s="9"/>
      <c r="O78" s="9"/>
      <c r="P78" s="9"/>
      <c r="Q78" s="9" t="s">
        <v>54</v>
      </c>
      <c r="R78" s="9"/>
      <c r="S78" s="9" t="s">
        <v>620</v>
      </c>
    </row>
    <row r="79" spans="1:19" x14ac:dyDescent="0.25">
      <c r="A79" s="9" t="s">
        <v>683</v>
      </c>
      <c r="B79" s="9" t="s">
        <v>232</v>
      </c>
      <c r="C79" s="9" t="s">
        <v>11</v>
      </c>
      <c r="D79" s="9" t="s">
        <v>25</v>
      </c>
      <c r="E79" s="9" t="str">
        <f>IF(G79&lt;Oversigt!$I$8,Oversigt!$H$8,IF(G79&lt;Oversigt!$I$9,Oversigt!$H$9,IF(G79&lt;Oversigt!$I$10,Oversigt!$H$10,IF(G79&lt;Oversigt!$I$11,Oversigt!$H$11,IF(G79&lt;Oversigt!$I$12,Oversigt!$H$12,Oversigt!$H$13)))))</f>
        <v>Uncommon</v>
      </c>
      <c r="F79" s="9" t="s">
        <v>144</v>
      </c>
      <c r="G79" s="10">
        <v>5</v>
      </c>
      <c r="H79" s="9" t="s">
        <v>184</v>
      </c>
      <c r="I79" s="10">
        <v>4</v>
      </c>
      <c r="J79" s="9"/>
      <c r="K79" s="9"/>
      <c r="L79" s="9"/>
      <c r="M79" s="9"/>
      <c r="N79" s="9"/>
      <c r="O79" s="9"/>
      <c r="P79" s="9"/>
      <c r="Q79" s="9" t="s">
        <v>54</v>
      </c>
      <c r="R79" s="9"/>
      <c r="S79" s="9" t="s">
        <v>684</v>
      </c>
    </row>
    <row r="80" spans="1:19" x14ac:dyDescent="0.25">
      <c r="A80" s="9" t="s">
        <v>688</v>
      </c>
      <c r="B80" s="9" t="s">
        <v>232</v>
      </c>
      <c r="C80" s="9" t="s">
        <v>11</v>
      </c>
      <c r="D80" s="9" t="s">
        <v>25</v>
      </c>
      <c r="E80" s="9" t="str">
        <f>IF(G80&lt;Oversigt!$I$8,Oversigt!$H$8,IF(G80&lt;Oversigt!$I$9,Oversigt!$H$9,IF(G80&lt;Oversigt!$I$10,Oversigt!$H$10,IF(G80&lt;Oversigt!$I$11,Oversigt!$H$11,IF(G80&lt;Oversigt!$I$12,Oversigt!$H$12,Oversigt!$H$13)))))</f>
        <v>Rare</v>
      </c>
      <c r="F80" s="9" t="s">
        <v>97</v>
      </c>
      <c r="G80" s="10">
        <v>10</v>
      </c>
      <c r="H80" s="9" t="s">
        <v>74</v>
      </c>
      <c r="I80" s="10">
        <v>1</v>
      </c>
      <c r="J80" s="9"/>
      <c r="K80" s="9"/>
      <c r="L80" s="9"/>
      <c r="M80" s="9"/>
      <c r="N80" s="9"/>
      <c r="O80" s="9"/>
      <c r="P80" s="9"/>
      <c r="Q80" s="9" t="s">
        <v>54</v>
      </c>
      <c r="R80" s="9"/>
      <c r="S80" s="9" t="s">
        <v>689</v>
      </c>
    </row>
    <row r="81" spans="1:19" x14ac:dyDescent="0.25">
      <c r="A81" s="9" t="s">
        <v>232</v>
      </c>
      <c r="B81" s="9" t="s">
        <v>232</v>
      </c>
      <c r="C81" s="9" t="s">
        <v>11</v>
      </c>
      <c r="D81" s="9" t="s">
        <v>25</v>
      </c>
      <c r="E81" s="9" t="str">
        <f>IF(G81&lt;Oversigt!$I$8,Oversigt!$H$8,IF(G81&lt;Oversigt!$I$9,Oversigt!$H$9,IF(G81&lt;Oversigt!$I$10,Oversigt!$H$10,IF(G81&lt;Oversigt!$I$11,Oversigt!$H$11,IF(G81&lt;Oversigt!$I$12,Oversigt!$H$12,Oversigt!$H$13)))))</f>
        <v>Common</v>
      </c>
      <c r="F81" s="9"/>
      <c r="G81" s="10"/>
      <c r="H81" s="9"/>
      <c r="I81" s="10"/>
      <c r="J81" s="9"/>
      <c r="K81" s="9"/>
      <c r="L81" s="9"/>
      <c r="M81" s="9"/>
      <c r="N81" s="9"/>
      <c r="O81" s="9"/>
      <c r="P81" s="9"/>
      <c r="Q81" s="9" t="s">
        <v>54</v>
      </c>
      <c r="R81" s="9"/>
      <c r="S81" s="9" t="s">
        <v>233</v>
      </c>
    </row>
    <row r="82" spans="1:19" x14ac:dyDescent="0.25">
      <c r="A82" s="9" t="s">
        <v>263</v>
      </c>
      <c r="B82" s="9" t="s">
        <v>101</v>
      </c>
      <c r="C82" s="9" t="s">
        <v>14</v>
      </c>
      <c r="D82" s="9" t="s">
        <v>25</v>
      </c>
      <c r="E82" s="9" t="str">
        <f>IF(G82&lt;Oversigt!$I$8,Oversigt!$H$8,IF(G82&lt;Oversigt!$I$9,Oversigt!$H$9,IF(G82&lt;Oversigt!$I$10,Oversigt!$H$10,IF(G82&lt;Oversigt!$I$11,Oversigt!$H$11,IF(G82&lt;Oversigt!$I$12,Oversigt!$H$12,Oversigt!$H$13)))))</f>
        <v>Rare</v>
      </c>
      <c r="F82" s="9" t="s">
        <v>97</v>
      </c>
      <c r="G82" s="10">
        <v>10</v>
      </c>
      <c r="H82" s="9" t="s">
        <v>150</v>
      </c>
      <c r="I82" s="10">
        <v>55</v>
      </c>
      <c r="J82" s="9"/>
      <c r="K82" s="9"/>
      <c r="L82" s="9"/>
      <c r="M82" s="9"/>
      <c r="N82" s="9"/>
      <c r="O82" s="9"/>
      <c r="P82" s="9"/>
      <c r="Q82" s="9" t="s">
        <v>104</v>
      </c>
      <c r="R82" s="9"/>
      <c r="S82" s="9" t="s">
        <v>264</v>
      </c>
    </row>
    <row r="83" spans="1:19" x14ac:dyDescent="0.25">
      <c r="A83" s="9" t="s">
        <v>238</v>
      </c>
      <c r="B83" s="9" t="s">
        <v>101</v>
      </c>
      <c r="C83" s="9" t="s">
        <v>14</v>
      </c>
      <c r="D83" s="9" t="s">
        <v>25</v>
      </c>
      <c r="E83" s="9" t="str">
        <f>IF(G83&lt;Oversigt!$I$8,Oversigt!$H$8,IF(G83&lt;Oversigt!$I$9,Oversigt!$H$9,IF(G83&lt;Oversigt!$I$10,Oversigt!$H$10,IF(G83&lt;Oversigt!$I$11,Oversigt!$H$11,IF(G83&lt;Oversigt!$I$12,Oversigt!$H$12,Oversigt!$H$13)))))</f>
        <v>Rare</v>
      </c>
      <c r="F83" s="9" t="s">
        <v>239</v>
      </c>
      <c r="G83" s="10">
        <v>12</v>
      </c>
      <c r="H83" s="9" t="s">
        <v>150</v>
      </c>
      <c r="I83" s="10">
        <v>55</v>
      </c>
      <c r="J83" s="9"/>
      <c r="K83" s="9"/>
      <c r="L83" s="9"/>
      <c r="M83" s="9"/>
      <c r="N83" s="9"/>
      <c r="O83" s="9"/>
      <c r="P83" s="9"/>
      <c r="Q83" s="9" t="s">
        <v>104</v>
      </c>
      <c r="R83" s="9"/>
      <c r="S83" s="9" t="s">
        <v>240</v>
      </c>
    </row>
    <row r="84" spans="1:19" x14ac:dyDescent="0.25">
      <c r="A84" s="9" t="s">
        <v>100</v>
      </c>
      <c r="B84" s="9" t="s">
        <v>101</v>
      </c>
      <c r="C84" s="9" t="s">
        <v>14</v>
      </c>
      <c r="D84" s="9" t="s">
        <v>25</v>
      </c>
      <c r="E84" s="9" t="str">
        <f>IF(G84&lt;Oversigt!$I$8,Oversigt!$H$8,IF(G84&lt;Oversigt!$I$9,Oversigt!$H$9,IF(G84&lt;Oversigt!$I$10,Oversigt!$H$10,IF(G84&lt;Oversigt!$I$11,Oversigt!$H$11,IF(G84&lt;Oversigt!$I$12,Oversigt!$H$12,Oversigt!$H$13)))))</f>
        <v>Rare</v>
      </c>
      <c r="F84" s="9" t="s">
        <v>102</v>
      </c>
      <c r="G84" s="10">
        <v>16</v>
      </c>
      <c r="H84" s="9" t="s">
        <v>103</v>
      </c>
      <c r="I84" s="10">
        <v>47.5</v>
      </c>
      <c r="J84" s="9"/>
      <c r="K84" s="9"/>
      <c r="L84" s="9"/>
      <c r="M84" s="9"/>
      <c r="N84" s="9"/>
      <c r="O84" s="9"/>
      <c r="P84" s="9"/>
      <c r="Q84" s="9" t="s">
        <v>104</v>
      </c>
      <c r="R84" s="9"/>
      <c r="S84" s="9" t="s">
        <v>105</v>
      </c>
    </row>
    <row r="85" spans="1:19" x14ac:dyDescent="0.25">
      <c r="A85" s="9" t="s">
        <v>509</v>
      </c>
      <c r="B85" s="9" t="s">
        <v>101</v>
      </c>
      <c r="C85" s="9" t="s">
        <v>14</v>
      </c>
      <c r="D85" s="9" t="s">
        <v>25</v>
      </c>
      <c r="E85" s="9" t="str">
        <f>IF(G85&lt;Oversigt!$I$8,Oversigt!$H$8,IF(G85&lt;Oversigt!$I$9,Oversigt!$H$9,IF(G85&lt;Oversigt!$I$10,Oversigt!$H$10,IF(G85&lt;Oversigt!$I$11,Oversigt!$H$11,IF(G85&lt;Oversigt!$I$12,Oversigt!$H$12,Oversigt!$H$13)))))</f>
        <v>Rare</v>
      </c>
      <c r="F85" s="9" t="s">
        <v>510</v>
      </c>
      <c r="G85" s="10">
        <v>33</v>
      </c>
      <c r="H85" s="9" t="s">
        <v>511</v>
      </c>
      <c r="I85" s="10">
        <v>29</v>
      </c>
      <c r="J85" s="9"/>
      <c r="K85" s="9"/>
      <c r="L85" s="9"/>
      <c r="M85" s="9"/>
      <c r="N85" s="9"/>
      <c r="O85" s="9"/>
      <c r="P85" s="9"/>
      <c r="Q85" s="9" t="s">
        <v>224</v>
      </c>
      <c r="R85" s="9"/>
      <c r="S85" s="9" t="s">
        <v>512</v>
      </c>
    </row>
    <row r="86" spans="1:19" x14ac:dyDescent="0.25">
      <c r="A86" s="9" t="s">
        <v>221</v>
      </c>
      <c r="B86" s="9" t="s">
        <v>101</v>
      </c>
      <c r="C86" s="9" t="s">
        <v>14</v>
      </c>
      <c r="D86" s="9" t="s">
        <v>25</v>
      </c>
      <c r="E86" s="9" t="str">
        <f>IF(G86&lt;Oversigt!$I$8,Oversigt!$H$8,IF(G86&lt;Oversigt!$I$9,Oversigt!$H$9,IF(G86&lt;Oversigt!$I$10,Oversigt!$H$10,IF(G86&lt;Oversigt!$I$11,Oversigt!$H$11,IF(G86&lt;Oversigt!$I$12,Oversigt!$H$12,Oversigt!$H$13)))))</f>
        <v>Rare</v>
      </c>
      <c r="F86" s="9" t="s">
        <v>222</v>
      </c>
      <c r="G86" s="10">
        <v>39</v>
      </c>
      <c r="H86" s="9" t="s">
        <v>223</v>
      </c>
      <c r="I86" s="10">
        <v>39</v>
      </c>
      <c r="J86" s="9"/>
      <c r="K86" s="9"/>
      <c r="L86" s="9"/>
      <c r="M86" s="9"/>
      <c r="N86" s="9"/>
      <c r="O86" s="9"/>
      <c r="P86" s="9"/>
      <c r="Q86" s="9" t="s">
        <v>224</v>
      </c>
      <c r="R86" s="9"/>
      <c r="S86" s="9" t="s">
        <v>225</v>
      </c>
    </row>
    <row r="87" spans="1:19" x14ac:dyDescent="0.25">
      <c r="A87" s="9" t="s">
        <v>251</v>
      </c>
      <c r="B87" s="9" t="s">
        <v>101</v>
      </c>
      <c r="C87" s="9" t="s">
        <v>14</v>
      </c>
      <c r="D87" s="9" t="s">
        <v>25</v>
      </c>
      <c r="E87" s="9" t="str">
        <f>IF(G87&lt;Oversigt!$I$8,Oversigt!$H$8,IF(G87&lt;Oversigt!$I$9,Oversigt!$H$9,IF(G87&lt;Oversigt!$I$10,Oversigt!$H$10,IF(G87&lt;Oversigt!$I$11,Oversigt!$H$11,IF(G87&lt;Oversigt!$I$12,Oversigt!$H$12,Oversigt!$H$13)))))</f>
        <v>Very Rare</v>
      </c>
      <c r="F87" s="9" t="s">
        <v>252</v>
      </c>
      <c r="G87" s="10">
        <v>40</v>
      </c>
      <c r="H87" s="9" t="s">
        <v>253</v>
      </c>
      <c r="I87" s="10">
        <v>58.5</v>
      </c>
      <c r="J87" s="9"/>
      <c r="K87" s="9"/>
      <c r="L87" s="9"/>
      <c r="M87" s="9"/>
      <c r="N87" s="9"/>
      <c r="O87" s="9"/>
      <c r="P87" s="9"/>
      <c r="Q87" s="9" t="s">
        <v>254</v>
      </c>
      <c r="R87" s="9"/>
      <c r="S87" s="9" t="s">
        <v>255</v>
      </c>
    </row>
    <row r="88" spans="1:19" x14ac:dyDescent="0.25">
      <c r="A88" s="9" t="s">
        <v>562</v>
      </c>
      <c r="B88" s="9" t="s">
        <v>101</v>
      </c>
      <c r="C88" s="9" t="s">
        <v>14</v>
      </c>
      <c r="D88" s="9" t="s">
        <v>25</v>
      </c>
      <c r="E88" s="9" t="str">
        <f>IF(G88&lt;Oversigt!$I$8,Oversigt!$H$8,IF(G88&lt;Oversigt!$I$9,Oversigt!$H$9,IF(G88&lt;Oversigt!$I$10,Oversigt!$H$10,IF(G88&lt;Oversigt!$I$11,Oversigt!$H$11,IF(G88&lt;Oversigt!$I$12,Oversigt!$H$12,Oversigt!$H$13)))))</f>
        <v>Very Rare</v>
      </c>
      <c r="F88" s="9" t="s">
        <v>252</v>
      </c>
      <c r="G88" s="10">
        <v>40</v>
      </c>
      <c r="H88" s="9" t="s">
        <v>563</v>
      </c>
      <c r="I88" s="10">
        <v>22</v>
      </c>
      <c r="J88" s="9"/>
      <c r="K88" s="9"/>
      <c r="L88" s="9"/>
      <c r="M88" s="9"/>
      <c r="N88" s="9"/>
      <c r="O88" s="9"/>
      <c r="P88" s="9"/>
      <c r="Q88" s="9" t="s">
        <v>564</v>
      </c>
      <c r="R88" s="9"/>
      <c r="S88" s="9" t="s">
        <v>565</v>
      </c>
    </row>
    <row r="89" spans="1:19" x14ac:dyDescent="0.25">
      <c r="A89" s="9" t="s">
        <v>378</v>
      </c>
      <c r="B89" s="9" t="s">
        <v>379</v>
      </c>
      <c r="C89" s="9" t="s">
        <v>18</v>
      </c>
      <c r="D89" s="9" t="s">
        <v>24</v>
      </c>
      <c r="E89" s="9" t="str">
        <f>IF(G89&lt;Oversigt!$I$8,Oversigt!$H$8,IF(G89&lt;Oversigt!$I$9,Oversigt!$H$9,IF(G89&lt;Oversigt!$I$10,Oversigt!$H$10,IF(G89&lt;Oversigt!$I$11,Oversigt!$H$11,IF(G89&lt;Oversigt!$I$12,Oversigt!$H$12,Oversigt!$H$13)))))</f>
        <v>Common</v>
      </c>
      <c r="F89" s="9"/>
      <c r="G89" s="10"/>
      <c r="H89" s="9" t="s">
        <v>94</v>
      </c>
      <c r="I89" s="10">
        <v>2</v>
      </c>
      <c r="J89" s="9" t="s">
        <v>380</v>
      </c>
      <c r="K89" s="9" t="s">
        <v>381</v>
      </c>
      <c r="L89" s="9" t="s">
        <v>382</v>
      </c>
      <c r="M89" s="9" t="s">
        <v>36</v>
      </c>
      <c r="N89" s="9"/>
      <c r="O89" s="9"/>
      <c r="P89" s="9"/>
      <c r="Q89" s="9" t="s">
        <v>173</v>
      </c>
      <c r="R89" s="9" t="s">
        <v>383</v>
      </c>
      <c r="S89" s="9" t="s">
        <v>384</v>
      </c>
    </row>
    <row r="90" spans="1:19" x14ac:dyDescent="0.25">
      <c r="A90" s="9" t="s">
        <v>385</v>
      </c>
      <c r="B90" s="9" t="s">
        <v>379</v>
      </c>
      <c r="C90" s="9" t="s">
        <v>18</v>
      </c>
      <c r="D90" s="9" t="s">
        <v>24</v>
      </c>
      <c r="E90" s="9" t="str">
        <f>IF(G90&lt;Oversigt!$I$8,Oversigt!$H$8,IF(G90&lt;Oversigt!$I$9,Oversigt!$H$9,IF(G90&lt;Oversigt!$I$10,Oversigt!$H$10,IF(G90&lt;Oversigt!$I$11,Oversigt!$H$11,IF(G90&lt;Oversigt!$I$12,Oversigt!$H$12,Oversigt!$H$13)))))</f>
        <v>Common</v>
      </c>
      <c r="F90" s="9"/>
      <c r="G90" s="10"/>
      <c r="H90" s="9" t="s">
        <v>302</v>
      </c>
      <c r="I90" s="10">
        <v>7</v>
      </c>
      <c r="J90" s="9" t="s">
        <v>386</v>
      </c>
      <c r="K90" s="9" t="s">
        <v>381</v>
      </c>
      <c r="L90" s="9" t="s">
        <v>387</v>
      </c>
      <c r="M90" s="9" t="s">
        <v>34</v>
      </c>
      <c r="N90" s="9"/>
      <c r="O90" s="9"/>
      <c r="P90" s="9"/>
      <c r="Q90" s="9" t="s">
        <v>173</v>
      </c>
      <c r="R90" s="9" t="s">
        <v>388</v>
      </c>
      <c r="S90" s="9" t="s">
        <v>389</v>
      </c>
    </row>
    <row r="91" spans="1:19" x14ac:dyDescent="0.25">
      <c r="A91" s="9" t="s">
        <v>528</v>
      </c>
      <c r="B91" s="9" t="s">
        <v>379</v>
      </c>
      <c r="C91" s="9" t="s">
        <v>18</v>
      </c>
      <c r="D91" s="9" t="s">
        <v>24</v>
      </c>
      <c r="E91" s="9" t="str">
        <f>IF(G91&lt;Oversigt!$I$8,Oversigt!$H$8,IF(G91&lt;Oversigt!$I$9,Oversigt!$H$9,IF(G91&lt;Oversigt!$I$10,Oversigt!$H$10,IF(G91&lt;Oversigt!$I$11,Oversigt!$H$11,IF(G91&lt;Oversigt!$I$12,Oversigt!$H$12,Oversigt!$H$13)))))</f>
        <v>Common</v>
      </c>
      <c r="F91" s="9"/>
      <c r="G91" s="10"/>
      <c r="H91" s="9" t="s">
        <v>191</v>
      </c>
      <c r="I91" s="10">
        <v>3</v>
      </c>
      <c r="J91" s="9" t="s">
        <v>529</v>
      </c>
      <c r="K91" s="9" t="s">
        <v>193</v>
      </c>
      <c r="L91" s="9" t="s">
        <v>530</v>
      </c>
      <c r="M91" s="9" t="s">
        <v>33</v>
      </c>
      <c r="N91" s="9"/>
      <c r="O91" s="9"/>
      <c r="P91" s="9"/>
      <c r="Q91" s="9" t="s">
        <v>173</v>
      </c>
      <c r="R91" s="9" t="s">
        <v>531</v>
      </c>
      <c r="S91" s="9" t="s">
        <v>532</v>
      </c>
    </row>
    <row r="92" spans="1:19" x14ac:dyDescent="0.25">
      <c r="A92" s="9" t="s">
        <v>537</v>
      </c>
      <c r="B92" s="9" t="s">
        <v>379</v>
      </c>
      <c r="C92" s="9" t="s">
        <v>18</v>
      </c>
      <c r="D92" s="9" t="s">
        <v>24</v>
      </c>
      <c r="E92" s="9" t="str">
        <f>IF(G92&lt;Oversigt!$I$8,Oversigt!$H$8,IF(G92&lt;Oversigt!$I$9,Oversigt!$H$9,IF(G92&lt;Oversigt!$I$10,Oversigt!$H$10,IF(G92&lt;Oversigt!$I$11,Oversigt!$H$11,IF(G92&lt;Oversigt!$I$12,Oversigt!$H$12,Oversigt!$H$13)))))</f>
        <v>Common</v>
      </c>
      <c r="F92" s="9"/>
      <c r="G92" s="10"/>
      <c r="H92" s="9" t="s">
        <v>181</v>
      </c>
      <c r="I92" s="10">
        <v>8</v>
      </c>
      <c r="J92" s="9" t="s">
        <v>529</v>
      </c>
      <c r="K92" s="9" t="s">
        <v>193</v>
      </c>
      <c r="L92" s="9" t="s">
        <v>538</v>
      </c>
      <c r="M92" s="9" t="s">
        <v>34</v>
      </c>
      <c r="N92" s="9"/>
      <c r="O92" s="9"/>
      <c r="P92" s="9"/>
      <c r="Q92" s="9" t="s">
        <v>173</v>
      </c>
      <c r="R92" s="9" t="s">
        <v>388</v>
      </c>
      <c r="S92" s="9" t="s">
        <v>389</v>
      </c>
    </row>
    <row r="93" spans="1:19" x14ac:dyDescent="0.25">
      <c r="A93" s="9" t="s">
        <v>539</v>
      </c>
      <c r="B93" s="9" t="s">
        <v>379</v>
      </c>
      <c r="C93" s="9" t="s">
        <v>18</v>
      </c>
      <c r="D93" s="9" t="s">
        <v>24</v>
      </c>
      <c r="E93" s="9" t="str">
        <f>IF(G93&lt;Oversigt!$I$8,Oversigt!$H$8,IF(G93&lt;Oversigt!$I$9,Oversigt!$H$9,IF(G93&lt;Oversigt!$I$10,Oversigt!$H$10,IF(G93&lt;Oversigt!$I$11,Oversigt!$H$11,IF(G93&lt;Oversigt!$I$12,Oversigt!$H$12,Oversigt!$H$13)))))</f>
        <v>Common</v>
      </c>
      <c r="F93" s="9"/>
      <c r="G93" s="10"/>
      <c r="H93" s="9" t="s">
        <v>181</v>
      </c>
      <c r="I93" s="10">
        <v>8</v>
      </c>
      <c r="J93" s="9" t="s">
        <v>540</v>
      </c>
      <c r="K93" s="9" t="s">
        <v>193</v>
      </c>
      <c r="L93" s="9" t="s">
        <v>541</v>
      </c>
      <c r="M93" s="9" t="s">
        <v>34</v>
      </c>
      <c r="N93" s="9"/>
      <c r="O93" s="9"/>
      <c r="P93" s="9"/>
      <c r="Q93" s="9" t="s">
        <v>173</v>
      </c>
      <c r="R93" s="9" t="s">
        <v>542</v>
      </c>
      <c r="S93" s="9" t="s">
        <v>543</v>
      </c>
    </row>
    <row r="94" spans="1:19" x14ac:dyDescent="0.25">
      <c r="A94" s="9" t="s">
        <v>569</v>
      </c>
      <c r="B94" s="9" t="s">
        <v>379</v>
      </c>
      <c r="C94" s="9" t="s">
        <v>18</v>
      </c>
      <c r="D94" s="9" t="s">
        <v>24</v>
      </c>
      <c r="E94" s="9" t="str">
        <f>IF(G94&lt;Oversigt!$I$8,Oversigt!$H$8,IF(G94&lt;Oversigt!$I$9,Oversigt!$H$9,IF(G94&lt;Oversigt!$I$10,Oversigt!$H$10,IF(G94&lt;Oversigt!$I$11,Oversigt!$H$11,IF(G94&lt;Oversigt!$I$12,Oversigt!$H$12,Oversigt!$H$13)))))</f>
        <v>Common</v>
      </c>
      <c r="F94" s="9"/>
      <c r="G94" s="10"/>
      <c r="H94" s="9" t="s">
        <v>191</v>
      </c>
      <c r="I94" s="10">
        <v>3</v>
      </c>
      <c r="J94" s="9" t="s">
        <v>311</v>
      </c>
      <c r="K94" s="9" t="s">
        <v>193</v>
      </c>
      <c r="L94" s="9" t="s">
        <v>570</v>
      </c>
      <c r="M94" s="9" t="s">
        <v>36</v>
      </c>
      <c r="N94" s="9"/>
      <c r="O94" s="9"/>
      <c r="P94" s="9"/>
      <c r="Q94" s="9"/>
      <c r="R94" s="9"/>
      <c r="S94" s="9" t="s">
        <v>571</v>
      </c>
    </row>
    <row r="95" spans="1:19" x14ac:dyDescent="0.25">
      <c r="A95" s="9" t="s">
        <v>584</v>
      </c>
      <c r="B95" s="9" t="s">
        <v>379</v>
      </c>
      <c r="C95" s="9" t="s">
        <v>18</v>
      </c>
      <c r="D95" s="9" t="s">
        <v>24</v>
      </c>
      <c r="E95" s="9" t="str">
        <f>IF(G95&lt;Oversigt!$I$8,Oversigt!$H$8,IF(G95&lt;Oversigt!$I$9,Oversigt!$H$9,IF(G95&lt;Oversigt!$I$10,Oversigt!$H$10,IF(G95&lt;Oversigt!$I$11,Oversigt!$H$11,IF(G95&lt;Oversigt!$I$12,Oversigt!$H$12,Oversigt!$H$13)))))</f>
        <v>Common</v>
      </c>
      <c r="F95" s="9"/>
      <c r="G95" s="10"/>
      <c r="H95" s="9" t="s">
        <v>302</v>
      </c>
      <c r="I95" s="10">
        <v>7</v>
      </c>
      <c r="J95" s="9" t="s">
        <v>529</v>
      </c>
      <c r="K95" s="9" t="s">
        <v>193</v>
      </c>
      <c r="L95" s="9" t="s">
        <v>585</v>
      </c>
      <c r="M95" s="9" t="s">
        <v>32</v>
      </c>
      <c r="N95" s="9"/>
      <c r="O95" s="9"/>
      <c r="P95" s="9"/>
      <c r="Q95" s="9" t="s">
        <v>173</v>
      </c>
      <c r="R95" s="9" t="s">
        <v>586</v>
      </c>
      <c r="S95" s="9" t="s">
        <v>587</v>
      </c>
    </row>
    <row r="96" spans="1:19" x14ac:dyDescent="0.25">
      <c r="A96" s="9" t="s">
        <v>544</v>
      </c>
      <c r="B96" s="9" t="s">
        <v>148</v>
      </c>
      <c r="C96" s="9" t="s">
        <v>16</v>
      </c>
      <c r="D96" s="9" t="s">
        <v>23</v>
      </c>
      <c r="E96" s="9" t="str">
        <f>IF(G96&lt;Oversigt!$I$8,Oversigt!$H$8,IF(G96&lt;Oversigt!$I$9,Oversigt!$H$9,IF(G96&lt;Oversigt!$I$10,Oversigt!$H$10,IF(G96&lt;Oversigt!$I$11,Oversigt!$H$11,IF(G96&lt;Oversigt!$I$12,Oversigt!$H$12,Oversigt!$H$13)))))</f>
        <v>Rare</v>
      </c>
      <c r="F96" s="9" t="s">
        <v>297</v>
      </c>
      <c r="G96" s="10">
        <v>30</v>
      </c>
      <c r="H96" s="9" t="s">
        <v>261</v>
      </c>
      <c r="I96" s="10">
        <v>40</v>
      </c>
      <c r="J96" s="9"/>
      <c r="K96" s="9"/>
      <c r="L96" s="9"/>
      <c r="M96" s="9"/>
      <c r="N96" s="9" t="s">
        <v>545</v>
      </c>
      <c r="O96" s="9"/>
      <c r="P96" s="9" t="s">
        <v>153</v>
      </c>
      <c r="Q96" s="9" t="s">
        <v>55</v>
      </c>
      <c r="R96" s="9"/>
      <c r="S96" s="9" t="s">
        <v>546</v>
      </c>
    </row>
    <row r="97" spans="1:19" x14ac:dyDescent="0.25">
      <c r="A97" s="9" t="s">
        <v>147</v>
      </c>
      <c r="B97" s="9" t="s">
        <v>148</v>
      </c>
      <c r="C97" s="9" t="s">
        <v>16</v>
      </c>
      <c r="D97" s="9" t="s">
        <v>23</v>
      </c>
      <c r="E97" s="9" t="str">
        <f>IF(G97&lt;Oversigt!$I$8,Oversigt!$H$8,IF(G97&lt;Oversigt!$I$9,Oversigt!$H$9,IF(G97&lt;Oversigt!$I$10,Oversigt!$H$10,IF(G97&lt;Oversigt!$I$11,Oversigt!$H$11,IF(G97&lt;Oversigt!$I$12,Oversigt!$H$12,Oversigt!$H$13)))))</f>
        <v>Very Rare</v>
      </c>
      <c r="F97" s="9" t="s">
        <v>149</v>
      </c>
      <c r="G97" s="10">
        <v>75</v>
      </c>
      <c r="H97" s="9" t="s">
        <v>150</v>
      </c>
      <c r="I97" s="10">
        <v>55</v>
      </c>
      <c r="J97" s="9"/>
      <c r="K97" s="9"/>
      <c r="L97" s="9"/>
      <c r="M97" s="9"/>
      <c r="N97" s="9" t="s">
        <v>151</v>
      </c>
      <c r="O97" s="9" t="s">
        <v>152</v>
      </c>
      <c r="P97" s="9" t="s">
        <v>153</v>
      </c>
      <c r="Q97" s="9" t="s">
        <v>55</v>
      </c>
      <c r="R97" s="9"/>
      <c r="S97" s="9" t="s">
        <v>154</v>
      </c>
    </row>
    <row r="98" spans="1:19" x14ac:dyDescent="0.25">
      <c r="A98" s="9" t="s">
        <v>615</v>
      </c>
      <c r="B98" s="9" t="s">
        <v>148</v>
      </c>
      <c r="C98" s="9" t="s">
        <v>16</v>
      </c>
      <c r="D98" s="9" t="s">
        <v>23</v>
      </c>
      <c r="E98" s="9" t="str">
        <f>IF(G98&lt;Oversigt!$I$8,Oversigt!$H$8,IF(G98&lt;Oversigt!$I$9,Oversigt!$H$9,IF(G98&lt;Oversigt!$I$10,Oversigt!$H$10,IF(G98&lt;Oversigt!$I$11,Oversigt!$H$11,IF(G98&lt;Oversigt!$I$12,Oversigt!$H$12,Oversigt!$H$13)))))</f>
        <v>Very Rare</v>
      </c>
      <c r="F98" s="9" t="s">
        <v>135</v>
      </c>
      <c r="G98" s="10">
        <v>200</v>
      </c>
      <c r="H98" s="9" t="s">
        <v>616</v>
      </c>
      <c r="I98" s="10">
        <v>60</v>
      </c>
      <c r="J98" s="9"/>
      <c r="K98" s="9"/>
      <c r="L98" s="9"/>
      <c r="M98" s="9"/>
      <c r="N98" s="9" t="s">
        <v>617</v>
      </c>
      <c r="O98" s="9" t="s">
        <v>492</v>
      </c>
      <c r="P98" s="9" t="s">
        <v>153</v>
      </c>
      <c r="Q98" s="9" t="s">
        <v>55</v>
      </c>
      <c r="R98" s="9"/>
      <c r="S98" s="9" t="s">
        <v>618</v>
      </c>
    </row>
    <row r="99" spans="1:19" x14ac:dyDescent="0.25">
      <c r="A99" s="9" t="s">
        <v>489</v>
      </c>
      <c r="B99" s="9" t="s">
        <v>148</v>
      </c>
      <c r="C99" s="9" t="s">
        <v>16</v>
      </c>
      <c r="D99" s="9" t="s">
        <v>23</v>
      </c>
      <c r="E99" s="9" t="str">
        <f>IF(G99&lt;Oversigt!$I$8,Oversigt!$H$8,IF(G99&lt;Oversigt!$I$9,Oversigt!$H$9,IF(G99&lt;Oversigt!$I$10,Oversigt!$H$10,IF(G99&lt;Oversigt!$I$11,Oversigt!$H$11,IF(G99&lt;Oversigt!$I$12,Oversigt!$H$12,Oversigt!$H$13)))))</f>
        <v>Legendary</v>
      </c>
      <c r="F99" s="9" t="s">
        <v>438</v>
      </c>
      <c r="G99" s="10">
        <v>1500</v>
      </c>
      <c r="H99" s="9" t="s">
        <v>490</v>
      </c>
      <c r="I99" s="10">
        <v>65</v>
      </c>
      <c r="J99" s="9"/>
      <c r="K99" s="9"/>
      <c r="L99" s="9"/>
      <c r="M99" s="9"/>
      <c r="N99" s="9" t="s">
        <v>491</v>
      </c>
      <c r="O99" s="9" t="s">
        <v>492</v>
      </c>
      <c r="P99" s="9" t="s">
        <v>153</v>
      </c>
      <c r="Q99" s="9" t="s">
        <v>55</v>
      </c>
      <c r="R99" s="9"/>
      <c r="S99" s="9" t="s">
        <v>493</v>
      </c>
    </row>
    <row r="100" spans="1:19" x14ac:dyDescent="0.25">
      <c r="A100" s="9" t="s">
        <v>245</v>
      </c>
      <c r="B100" s="9" t="s">
        <v>246</v>
      </c>
      <c r="C100" s="9" t="s">
        <v>11</v>
      </c>
      <c r="D100" s="9" t="s">
        <v>25</v>
      </c>
      <c r="E100" s="9" t="str">
        <f>IF(G100&lt;Oversigt!$I$8,Oversigt!$H$8,IF(G100&lt;Oversigt!$I$9,Oversigt!$H$9,IF(G100&lt;Oversigt!$I$10,Oversigt!$H$10,IF(G100&lt;Oversigt!$I$11,Oversigt!$H$11,IF(G100&lt;Oversigt!$I$12,Oversigt!$H$12,Oversigt!$H$13)))))</f>
        <v>Uncommon</v>
      </c>
      <c r="F100" s="9" t="s">
        <v>144</v>
      </c>
      <c r="G100" s="10">
        <v>5</v>
      </c>
      <c r="H100" s="9"/>
      <c r="I100" s="10"/>
      <c r="J100" s="9"/>
      <c r="K100" s="9"/>
      <c r="L100" s="9"/>
      <c r="M100" s="9"/>
      <c r="N100" s="9"/>
      <c r="O100" s="9"/>
      <c r="P100" s="9"/>
      <c r="Q100" s="9" t="s">
        <v>54</v>
      </c>
      <c r="R100" s="9"/>
      <c r="S100" s="9" t="s">
        <v>247</v>
      </c>
    </row>
    <row r="101" spans="1:19" x14ac:dyDescent="0.25">
      <c r="A101" s="9" t="s">
        <v>526</v>
      </c>
      <c r="B101" s="9" t="s">
        <v>246</v>
      </c>
      <c r="C101" s="9" t="s">
        <v>11</v>
      </c>
      <c r="D101" s="9" t="s">
        <v>25</v>
      </c>
      <c r="E101" s="9" t="str">
        <f>IF(G101&lt;Oversigt!$I$8,Oversigt!$H$8,IF(G101&lt;Oversigt!$I$9,Oversigt!$H$9,IF(G101&lt;Oversigt!$I$10,Oversigt!$H$10,IF(G101&lt;Oversigt!$I$11,Oversigt!$H$11,IF(G101&lt;Oversigt!$I$12,Oversigt!$H$12,Oversigt!$H$13)))))</f>
        <v>Uncommon</v>
      </c>
      <c r="F101" s="9" t="s">
        <v>144</v>
      </c>
      <c r="G101" s="10">
        <v>5</v>
      </c>
      <c r="H101" s="9" t="s">
        <v>94</v>
      </c>
      <c r="I101" s="10">
        <v>2</v>
      </c>
      <c r="J101" s="9"/>
      <c r="K101" s="9"/>
      <c r="L101" s="9"/>
      <c r="M101" s="9"/>
      <c r="N101" s="9"/>
      <c r="O101" s="9"/>
      <c r="P101" s="9"/>
      <c r="Q101" s="9" t="s">
        <v>54</v>
      </c>
      <c r="R101" s="9"/>
      <c r="S101" s="9" t="s">
        <v>527</v>
      </c>
    </row>
    <row r="102" spans="1:19" x14ac:dyDescent="0.25">
      <c r="A102" s="9" t="s">
        <v>246</v>
      </c>
      <c r="B102" s="9" t="s">
        <v>246</v>
      </c>
      <c r="C102" s="9" t="s">
        <v>11</v>
      </c>
      <c r="D102" s="9" t="s">
        <v>25</v>
      </c>
      <c r="E102" s="9" t="str">
        <f>IF(G102&lt;Oversigt!$I$8,Oversigt!$H$8,IF(G102&lt;Oversigt!$I$9,Oversigt!$H$9,IF(G102&lt;Oversigt!$I$10,Oversigt!$H$10,IF(G102&lt;Oversigt!$I$11,Oversigt!$H$11,IF(G102&lt;Oversigt!$I$12,Oversigt!$H$12,Oversigt!$H$13)))))</f>
        <v>Common</v>
      </c>
      <c r="F102" s="9"/>
      <c r="G102" s="10"/>
      <c r="H102" s="9"/>
      <c r="I102" s="10"/>
      <c r="J102" s="9"/>
      <c r="K102" s="9"/>
      <c r="L102" s="9"/>
      <c r="M102" s="9"/>
      <c r="N102" s="9"/>
      <c r="O102" s="9"/>
      <c r="P102" s="9"/>
      <c r="Q102" s="9" t="s">
        <v>54</v>
      </c>
      <c r="R102" s="9"/>
      <c r="S102" s="9" t="s">
        <v>340</v>
      </c>
    </row>
    <row r="103" spans="1:19" x14ac:dyDescent="0.25">
      <c r="A103" s="9" t="s">
        <v>469</v>
      </c>
      <c r="B103" s="9" t="s">
        <v>391</v>
      </c>
      <c r="C103" s="9" t="s">
        <v>16</v>
      </c>
      <c r="D103" s="9" t="s">
        <v>23</v>
      </c>
      <c r="E103" s="9" t="str">
        <f>IF(G103&lt;Oversigt!$I$8,Oversigt!$H$8,IF(G103&lt;Oversigt!$I$9,Oversigt!$H$9,IF(G103&lt;Oversigt!$I$10,Oversigt!$H$10,IF(G103&lt;Oversigt!$I$11,Oversigt!$H$11,IF(G103&lt;Oversigt!$I$12,Oversigt!$H$12,Oversigt!$H$13)))))</f>
        <v>Uncommon</v>
      </c>
      <c r="F103" s="9" t="s">
        <v>144</v>
      </c>
      <c r="G103" s="10">
        <v>5</v>
      </c>
      <c r="H103" s="9" t="s">
        <v>181</v>
      </c>
      <c r="I103" s="10">
        <v>8</v>
      </c>
      <c r="J103" s="9"/>
      <c r="K103" s="9"/>
      <c r="L103" s="9"/>
      <c r="M103" s="9"/>
      <c r="N103" s="9" t="s">
        <v>392</v>
      </c>
      <c r="O103" s="9"/>
      <c r="P103" s="9" t="s">
        <v>153</v>
      </c>
      <c r="Q103" s="9" t="s">
        <v>55</v>
      </c>
      <c r="R103" s="9"/>
      <c r="S103" s="9" t="s">
        <v>470</v>
      </c>
    </row>
    <row r="104" spans="1:19" x14ac:dyDescent="0.25">
      <c r="A104" s="9" t="s">
        <v>390</v>
      </c>
      <c r="B104" s="9" t="s">
        <v>391</v>
      </c>
      <c r="C104" s="9" t="s">
        <v>16</v>
      </c>
      <c r="D104" s="9" t="s">
        <v>23</v>
      </c>
      <c r="E104" s="9" t="str">
        <f>IF(G104&lt;Oversigt!$I$8,Oversigt!$H$8,IF(G104&lt;Oversigt!$I$9,Oversigt!$H$9,IF(G104&lt;Oversigt!$I$10,Oversigt!$H$10,IF(G104&lt;Oversigt!$I$11,Oversigt!$H$11,IF(G104&lt;Oversigt!$I$12,Oversigt!$H$12,Oversigt!$H$13)))))</f>
        <v>Rare</v>
      </c>
      <c r="F104" s="9" t="s">
        <v>97</v>
      </c>
      <c r="G104" s="10">
        <v>10</v>
      </c>
      <c r="H104" s="9" t="s">
        <v>145</v>
      </c>
      <c r="I104" s="10">
        <v>10</v>
      </c>
      <c r="J104" s="9"/>
      <c r="K104" s="9"/>
      <c r="L104" s="9"/>
      <c r="M104" s="9"/>
      <c r="N104" s="9" t="s">
        <v>392</v>
      </c>
      <c r="O104" s="9"/>
      <c r="P104" s="9"/>
      <c r="Q104" s="9" t="s">
        <v>55</v>
      </c>
      <c r="R104" s="9"/>
      <c r="S104" s="9" t="s">
        <v>393</v>
      </c>
    </row>
    <row r="105" spans="1:19" x14ac:dyDescent="0.25">
      <c r="A105" s="9" t="s">
        <v>628</v>
      </c>
      <c r="B105" s="9" t="s">
        <v>391</v>
      </c>
      <c r="C105" s="9" t="s">
        <v>16</v>
      </c>
      <c r="D105" s="9" t="s">
        <v>23</v>
      </c>
      <c r="E105" s="9" t="str">
        <f>IF(G105&lt;Oversigt!$I$8,Oversigt!$H$8,IF(G105&lt;Oversigt!$I$9,Oversigt!$H$9,IF(G105&lt;Oversigt!$I$10,Oversigt!$H$10,IF(G105&lt;Oversigt!$I$11,Oversigt!$H$11,IF(G105&lt;Oversigt!$I$12,Oversigt!$H$12,Oversigt!$H$13)))))</f>
        <v>Very Rare</v>
      </c>
      <c r="F105" s="9" t="s">
        <v>629</v>
      </c>
      <c r="G105" s="10">
        <v>45</v>
      </c>
      <c r="H105" s="9" t="s">
        <v>630</v>
      </c>
      <c r="I105" s="10">
        <v>13</v>
      </c>
      <c r="J105" s="9"/>
      <c r="K105" s="9"/>
      <c r="L105" s="9"/>
      <c r="M105" s="9"/>
      <c r="N105" s="9" t="s">
        <v>631</v>
      </c>
      <c r="O105" s="9"/>
      <c r="P105" s="9"/>
      <c r="Q105" s="9" t="s">
        <v>55</v>
      </c>
      <c r="R105" s="9"/>
      <c r="S105" s="9" t="s">
        <v>632</v>
      </c>
    </row>
    <row r="106" spans="1:19" x14ac:dyDescent="0.25">
      <c r="A106" s="9" t="s">
        <v>678</v>
      </c>
      <c r="B106" s="9" t="s">
        <v>275</v>
      </c>
      <c r="C106" s="9" t="s">
        <v>18</v>
      </c>
      <c r="D106" s="9" t="s">
        <v>23</v>
      </c>
      <c r="E106" s="9" t="str">
        <f>IF(G106&lt;Oversigt!$I$8,Oversigt!$H$8,IF(G106&lt;Oversigt!$I$9,Oversigt!$H$9,IF(G106&lt;Oversigt!$I$10,Oversigt!$H$10,IF(G106&lt;Oversigt!$I$11,Oversigt!$H$11,IF(G106&lt;Oversigt!$I$12,Oversigt!$H$12,Oversigt!$H$13)))))</f>
        <v>Uncommon</v>
      </c>
      <c r="F106" s="9" t="s">
        <v>207</v>
      </c>
      <c r="G106" s="10">
        <v>2</v>
      </c>
      <c r="H106" s="9" t="s">
        <v>191</v>
      </c>
      <c r="I106" s="10">
        <v>3</v>
      </c>
      <c r="J106" s="9" t="s">
        <v>170</v>
      </c>
      <c r="K106" s="9" t="s">
        <v>290</v>
      </c>
      <c r="L106" s="9" t="s">
        <v>679</v>
      </c>
      <c r="M106" s="9" t="s">
        <v>34</v>
      </c>
      <c r="N106" s="9"/>
      <c r="O106" s="9"/>
      <c r="P106" s="9"/>
      <c r="Q106" s="9" t="s">
        <v>292</v>
      </c>
      <c r="R106" s="9"/>
      <c r="S106" s="9" t="s">
        <v>680</v>
      </c>
    </row>
    <row r="107" spans="1:19" x14ac:dyDescent="0.25">
      <c r="A107" s="9" t="s">
        <v>483</v>
      </c>
      <c r="B107" s="9" t="s">
        <v>275</v>
      </c>
      <c r="C107" s="9" t="s">
        <v>18</v>
      </c>
      <c r="D107" s="9" t="s">
        <v>23</v>
      </c>
      <c r="E107" s="9" t="str">
        <f>IF(G107&lt;Oversigt!$I$8,Oversigt!$H$8,IF(G107&lt;Oversigt!$I$9,Oversigt!$H$9,IF(G107&lt;Oversigt!$I$10,Oversigt!$H$10,IF(G107&lt;Oversigt!$I$11,Oversigt!$H$11,IF(G107&lt;Oversigt!$I$12,Oversigt!$H$12,Oversigt!$H$13)))))</f>
        <v>Uncommon</v>
      </c>
      <c r="F107" s="9" t="s">
        <v>144</v>
      </c>
      <c r="G107" s="10">
        <v>5</v>
      </c>
      <c r="H107" s="9" t="s">
        <v>197</v>
      </c>
      <c r="I107" s="10">
        <v>18</v>
      </c>
      <c r="J107" s="9" t="s">
        <v>198</v>
      </c>
      <c r="K107" s="9" t="s">
        <v>193</v>
      </c>
      <c r="L107" s="9" t="s">
        <v>484</v>
      </c>
      <c r="M107" s="9" t="s">
        <v>32</v>
      </c>
      <c r="N107" s="9"/>
      <c r="O107" s="9"/>
      <c r="P107" s="9"/>
      <c r="Q107" s="9" t="s">
        <v>292</v>
      </c>
      <c r="R107" s="9"/>
      <c r="S107" s="9" t="s">
        <v>485</v>
      </c>
    </row>
    <row r="108" spans="1:19" x14ac:dyDescent="0.25">
      <c r="A108" s="9" t="s">
        <v>650</v>
      </c>
      <c r="B108" s="9" t="s">
        <v>275</v>
      </c>
      <c r="C108" s="9" t="s">
        <v>18</v>
      </c>
      <c r="D108" s="9" t="s">
        <v>23</v>
      </c>
      <c r="E108" s="9" t="str">
        <f>IF(G108&lt;Oversigt!$I$8,Oversigt!$H$8,IF(G108&lt;Oversigt!$I$9,Oversigt!$H$9,IF(G108&lt;Oversigt!$I$10,Oversigt!$H$10,IF(G108&lt;Oversigt!$I$11,Oversigt!$H$11,IF(G108&lt;Oversigt!$I$12,Oversigt!$H$12,Oversigt!$H$13)))))</f>
        <v>Uncommon</v>
      </c>
      <c r="F108" s="9" t="s">
        <v>144</v>
      </c>
      <c r="G108" s="10">
        <v>5</v>
      </c>
      <c r="H108" s="9" t="s">
        <v>184</v>
      </c>
      <c r="I108" s="10">
        <v>4</v>
      </c>
      <c r="J108" s="9" t="s">
        <v>203</v>
      </c>
      <c r="K108" s="9" t="s">
        <v>193</v>
      </c>
      <c r="L108" s="9" t="s">
        <v>651</v>
      </c>
      <c r="M108" s="9" t="s">
        <v>35</v>
      </c>
      <c r="N108" s="9"/>
      <c r="O108" s="9"/>
      <c r="P108" s="9"/>
      <c r="Q108" s="9" t="s">
        <v>173</v>
      </c>
      <c r="R108" s="9"/>
      <c r="S108" s="9" t="s">
        <v>652</v>
      </c>
    </row>
    <row r="109" spans="1:19" x14ac:dyDescent="0.25">
      <c r="A109" s="9" t="s">
        <v>662</v>
      </c>
      <c r="B109" s="9" t="s">
        <v>275</v>
      </c>
      <c r="C109" s="9" t="s">
        <v>18</v>
      </c>
      <c r="D109" s="9" t="s">
        <v>23</v>
      </c>
      <c r="E109" s="9" t="str">
        <f>IF(G109&lt;Oversigt!$I$8,Oversigt!$H$8,IF(G109&lt;Oversigt!$I$9,Oversigt!$H$9,IF(G109&lt;Oversigt!$I$10,Oversigt!$H$10,IF(G109&lt;Oversigt!$I$11,Oversigt!$H$11,IF(G109&lt;Oversigt!$I$12,Oversigt!$H$12,Oversigt!$H$13)))))</f>
        <v>Uncommon</v>
      </c>
      <c r="F109" s="9" t="s">
        <v>144</v>
      </c>
      <c r="G109" s="10">
        <v>5</v>
      </c>
      <c r="H109" s="9" t="s">
        <v>94</v>
      </c>
      <c r="I109" s="10">
        <v>2</v>
      </c>
      <c r="J109" s="9" t="s">
        <v>203</v>
      </c>
      <c r="K109" s="9" t="s">
        <v>193</v>
      </c>
      <c r="L109" s="9" t="s">
        <v>663</v>
      </c>
      <c r="M109" s="9" t="s">
        <v>33</v>
      </c>
      <c r="N109" s="9"/>
      <c r="O109" s="9"/>
      <c r="P109" s="9"/>
      <c r="Q109" s="9" t="s">
        <v>173</v>
      </c>
      <c r="R109" s="9"/>
      <c r="S109" s="9" t="s">
        <v>664</v>
      </c>
    </row>
    <row r="110" spans="1:19" x14ac:dyDescent="0.25">
      <c r="A110" s="9" t="s">
        <v>274</v>
      </c>
      <c r="B110" s="9" t="s">
        <v>275</v>
      </c>
      <c r="C110" s="9" t="s">
        <v>18</v>
      </c>
      <c r="D110" s="9" t="s">
        <v>23</v>
      </c>
      <c r="E110" s="9" t="str">
        <f>IF(G110&lt;Oversigt!$I$8,Oversigt!$H$8,IF(G110&lt;Oversigt!$I$9,Oversigt!$H$9,IF(G110&lt;Oversigt!$I$10,Oversigt!$H$10,IF(G110&lt;Oversigt!$I$11,Oversigt!$H$11,IF(G110&lt;Oversigt!$I$12,Oversigt!$H$12,Oversigt!$H$13)))))</f>
        <v>Rare</v>
      </c>
      <c r="F110" s="9" t="s">
        <v>97</v>
      </c>
      <c r="G110" s="10">
        <v>10</v>
      </c>
      <c r="H110" s="9" t="s">
        <v>94</v>
      </c>
      <c r="I110" s="10">
        <v>2</v>
      </c>
      <c r="J110" s="9" t="s">
        <v>203</v>
      </c>
      <c r="K110" s="9" t="s">
        <v>171</v>
      </c>
      <c r="L110" s="9" t="s">
        <v>33</v>
      </c>
      <c r="M110" s="9" t="s">
        <v>33</v>
      </c>
      <c r="N110" s="9"/>
      <c r="O110" s="9"/>
      <c r="P110" s="9"/>
      <c r="Q110" s="9" t="s">
        <v>173</v>
      </c>
      <c r="R110" s="9"/>
      <c r="S110" s="9" t="s">
        <v>276</v>
      </c>
    </row>
    <row r="111" spans="1:19" x14ac:dyDescent="0.25">
      <c r="A111" s="9" t="s">
        <v>375</v>
      </c>
      <c r="B111" s="9" t="s">
        <v>275</v>
      </c>
      <c r="C111" s="9" t="s">
        <v>18</v>
      </c>
      <c r="D111" s="9" t="s">
        <v>23</v>
      </c>
      <c r="E111" s="9" t="str">
        <f>IF(G111&lt;Oversigt!$I$8,Oversigt!$H$8,IF(G111&lt;Oversigt!$I$9,Oversigt!$H$9,IF(G111&lt;Oversigt!$I$10,Oversigt!$H$10,IF(G111&lt;Oversigt!$I$11,Oversigt!$H$11,IF(G111&lt;Oversigt!$I$12,Oversigt!$H$12,Oversigt!$H$13)))))</f>
        <v>Rare</v>
      </c>
      <c r="F111" s="9" t="s">
        <v>97</v>
      </c>
      <c r="G111" s="10">
        <v>10</v>
      </c>
      <c r="H111" s="9" t="s">
        <v>128</v>
      </c>
      <c r="I111" s="10">
        <v>6</v>
      </c>
      <c r="J111" s="9" t="s">
        <v>198</v>
      </c>
      <c r="K111" s="9" t="s">
        <v>193</v>
      </c>
      <c r="L111" s="9" t="s">
        <v>376</v>
      </c>
      <c r="M111" s="9" t="s">
        <v>35</v>
      </c>
      <c r="N111" s="9"/>
      <c r="O111" s="9"/>
      <c r="P111" s="9"/>
      <c r="Q111" s="9" t="s">
        <v>292</v>
      </c>
      <c r="R111" s="9"/>
      <c r="S111" s="9" t="s">
        <v>377</v>
      </c>
    </row>
    <row r="112" spans="1:19" x14ac:dyDescent="0.25">
      <c r="A112" s="9" t="s">
        <v>434</v>
      </c>
      <c r="B112" s="9" t="s">
        <v>275</v>
      </c>
      <c r="C112" s="9" t="s">
        <v>18</v>
      </c>
      <c r="D112" s="9" t="s">
        <v>23</v>
      </c>
      <c r="E112" s="9" t="str">
        <f>IF(G112&lt;Oversigt!$I$8,Oversigt!$H$8,IF(G112&lt;Oversigt!$I$9,Oversigt!$H$9,IF(G112&lt;Oversigt!$I$10,Oversigt!$H$10,IF(G112&lt;Oversigt!$I$11,Oversigt!$H$11,IF(G112&lt;Oversigt!$I$12,Oversigt!$H$12,Oversigt!$H$13)))))</f>
        <v>Rare</v>
      </c>
      <c r="F112" s="9" t="s">
        <v>97</v>
      </c>
      <c r="G112" s="10">
        <v>10</v>
      </c>
      <c r="H112" s="9" t="s">
        <v>145</v>
      </c>
      <c r="I112" s="10">
        <v>10</v>
      </c>
      <c r="J112" s="9" t="s">
        <v>311</v>
      </c>
      <c r="K112" s="9" t="s">
        <v>171</v>
      </c>
      <c r="L112" s="9" t="s">
        <v>435</v>
      </c>
      <c r="M112" s="9" t="s">
        <v>35</v>
      </c>
      <c r="N112" s="9"/>
      <c r="O112" s="9"/>
      <c r="P112" s="9"/>
      <c r="Q112" s="9" t="s">
        <v>173</v>
      </c>
      <c r="R112" s="9"/>
      <c r="S112" s="9" t="s">
        <v>436</v>
      </c>
    </row>
    <row r="113" spans="1:19" x14ac:dyDescent="0.25">
      <c r="A113" s="9" t="s">
        <v>581</v>
      </c>
      <c r="B113" s="9" t="s">
        <v>275</v>
      </c>
      <c r="C113" s="9" t="s">
        <v>18</v>
      </c>
      <c r="D113" s="9" t="s">
        <v>23</v>
      </c>
      <c r="E113" s="9" t="str">
        <f>IF(G113&lt;Oversigt!$I$8,Oversigt!$H$8,IF(G113&lt;Oversigt!$I$9,Oversigt!$H$9,IF(G113&lt;Oversigt!$I$10,Oversigt!$H$10,IF(G113&lt;Oversigt!$I$11,Oversigt!$H$11,IF(G113&lt;Oversigt!$I$12,Oversigt!$H$12,Oversigt!$H$13)))))</f>
        <v>Rare</v>
      </c>
      <c r="F113" s="9" t="s">
        <v>97</v>
      </c>
      <c r="G113" s="10">
        <v>10</v>
      </c>
      <c r="H113" s="9" t="s">
        <v>94</v>
      </c>
      <c r="I113" s="10">
        <v>2</v>
      </c>
      <c r="J113" s="9" t="s">
        <v>192</v>
      </c>
      <c r="K113" s="9" t="s">
        <v>193</v>
      </c>
      <c r="L113" s="9" t="s">
        <v>582</v>
      </c>
      <c r="M113" s="9" t="s">
        <v>36</v>
      </c>
      <c r="N113" s="9"/>
      <c r="O113" s="9"/>
      <c r="P113" s="9"/>
      <c r="Q113" s="9" t="s">
        <v>173</v>
      </c>
      <c r="R113" s="9"/>
      <c r="S113" s="9" t="s">
        <v>583</v>
      </c>
    </row>
    <row r="114" spans="1:19" x14ac:dyDescent="0.25">
      <c r="A114" s="9" t="s">
        <v>411</v>
      </c>
      <c r="B114" s="9" t="s">
        <v>275</v>
      </c>
      <c r="C114" s="9" t="s">
        <v>18</v>
      </c>
      <c r="D114" s="9" t="s">
        <v>23</v>
      </c>
      <c r="E114" s="9" t="str">
        <f>IF(G114&lt;Oversigt!$I$8,Oversigt!$H$8,IF(G114&lt;Oversigt!$I$9,Oversigt!$H$9,IF(G114&lt;Oversigt!$I$10,Oversigt!$H$10,IF(G114&lt;Oversigt!$I$11,Oversigt!$H$11,IF(G114&lt;Oversigt!$I$12,Oversigt!$H$12,Oversigt!$H$13)))))</f>
        <v>Rare</v>
      </c>
      <c r="F114" s="9" t="s">
        <v>139</v>
      </c>
      <c r="G114" s="10">
        <v>15</v>
      </c>
      <c r="H114" s="9" t="s">
        <v>191</v>
      </c>
      <c r="I114" s="10">
        <v>3</v>
      </c>
      <c r="J114" s="9" t="s">
        <v>203</v>
      </c>
      <c r="K114" s="9" t="s">
        <v>290</v>
      </c>
      <c r="L114" s="9" t="s">
        <v>412</v>
      </c>
      <c r="M114" s="9" t="s">
        <v>33</v>
      </c>
      <c r="N114" s="9"/>
      <c r="O114" s="9"/>
      <c r="P114" s="9"/>
      <c r="Q114" s="9" t="s">
        <v>173</v>
      </c>
      <c r="R114" s="9"/>
      <c r="S114" s="9" t="s">
        <v>413</v>
      </c>
    </row>
    <row r="115" spans="1:19" x14ac:dyDescent="0.25">
      <c r="A115" s="9" t="s">
        <v>446</v>
      </c>
      <c r="B115" s="9" t="s">
        <v>275</v>
      </c>
      <c r="C115" s="9" t="s">
        <v>18</v>
      </c>
      <c r="D115" s="9" t="s">
        <v>23</v>
      </c>
      <c r="E115" s="9" t="str">
        <f>IF(G115&lt;Oversigt!$I$8,Oversigt!$H$8,IF(G115&lt;Oversigt!$I$9,Oversigt!$H$9,IF(G115&lt;Oversigt!$I$10,Oversigt!$H$10,IF(G115&lt;Oversigt!$I$11,Oversigt!$H$11,IF(G115&lt;Oversigt!$I$12,Oversigt!$H$12,Oversigt!$H$13)))))</f>
        <v>Rare</v>
      </c>
      <c r="F115" s="9" t="s">
        <v>139</v>
      </c>
      <c r="G115" s="10">
        <v>15</v>
      </c>
      <c r="H115" s="9" t="s">
        <v>184</v>
      </c>
      <c r="I115" s="10">
        <v>4</v>
      </c>
      <c r="J115" s="9" t="s">
        <v>203</v>
      </c>
      <c r="K115" s="9" t="s">
        <v>193</v>
      </c>
      <c r="L115" s="9" t="s">
        <v>33</v>
      </c>
      <c r="M115" s="9" t="s">
        <v>33</v>
      </c>
      <c r="N115" s="9"/>
      <c r="O115" s="9"/>
      <c r="P115" s="9"/>
      <c r="Q115" s="9" t="s">
        <v>173</v>
      </c>
      <c r="R115" s="9"/>
      <c r="S115" s="9" t="s">
        <v>447</v>
      </c>
    </row>
    <row r="116" spans="1:19" x14ac:dyDescent="0.25">
      <c r="A116" s="9" t="s">
        <v>665</v>
      </c>
      <c r="B116" s="9" t="s">
        <v>275</v>
      </c>
      <c r="C116" s="9" t="s">
        <v>18</v>
      </c>
      <c r="D116" s="9" t="s">
        <v>23</v>
      </c>
      <c r="E116" s="9" t="str">
        <f>IF(G116&lt;Oversigt!$I$8,Oversigt!$H$8,IF(G116&lt;Oversigt!$I$9,Oversigt!$H$9,IF(G116&lt;Oversigt!$I$10,Oversigt!$H$10,IF(G116&lt;Oversigt!$I$11,Oversigt!$H$11,IF(G116&lt;Oversigt!$I$12,Oversigt!$H$12,Oversigt!$H$13)))))</f>
        <v>Rare</v>
      </c>
      <c r="F116" s="9" t="s">
        <v>139</v>
      </c>
      <c r="G116" s="10">
        <v>15</v>
      </c>
      <c r="H116" s="9" t="s">
        <v>78</v>
      </c>
      <c r="I116" s="10">
        <v>5</v>
      </c>
      <c r="J116" s="9" t="s">
        <v>203</v>
      </c>
      <c r="K116" s="9" t="s">
        <v>171</v>
      </c>
      <c r="L116" s="9" t="s">
        <v>666</v>
      </c>
      <c r="M116" s="9" t="s">
        <v>32</v>
      </c>
      <c r="N116" s="9"/>
      <c r="O116" s="9"/>
      <c r="P116" s="9"/>
      <c r="Q116" s="9" t="s">
        <v>173</v>
      </c>
      <c r="R116" s="9"/>
      <c r="S116" s="9" t="s">
        <v>667</v>
      </c>
    </row>
    <row r="117" spans="1:19" x14ac:dyDescent="0.25">
      <c r="A117" s="9" t="s">
        <v>289</v>
      </c>
      <c r="B117" s="9" t="s">
        <v>275</v>
      </c>
      <c r="C117" s="9" t="s">
        <v>18</v>
      </c>
      <c r="D117" s="9" t="s">
        <v>23</v>
      </c>
      <c r="E117" s="9" t="str">
        <f>IF(G117&lt;Oversigt!$I$8,Oversigt!$H$8,IF(G117&lt;Oversigt!$I$9,Oversigt!$H$9,IF(G117&lt;Oversigt!$I$10,Oversigt!$H$10,IF(G117&lt;Oversigt!$I$11,Oversigt!$H$11,IF(G117&lt;Oversigt!$I$12,Oversigt!$H$12,Oversigt!$H$13)))))</f>
        <v>Rare</v>
      </c>
      <c r="F117" s="9" t="s">
        <v>89</v>
      </c>
      <c r="G117" s="10">
        <v>20</v>
      </c>
      <c r="H117" s="9" t="s">
        <v>128</v>
      </c>
      <c r="I117" s="10">
        <v>6</v>
      </c>
      <c r="J117" s="9" t="s">
        <v>198</v>
      </c>
      <c r="K117" s="9" t="s">
        <v>290</v>
      </c>
      <c r="L117" s="9" t="s">
        <v>291</v>
      </c>
      <c r="M117" s="9" t="s">
        <v>30</v>
      </c>
      <c r="N117" s="9"/>
      <c r="O117" s="9"/>
      <c r="P117" s="9"/>
      <c r="Q117" s="9" t="s">
        <v>292</v>
      </c>
      <c r="R117" s="9"/>
      <c r="S117" s="9" t="s">
        <v>293</v>
      </c>
    </row>
    <row r="118" spans="1:19" x14ac:dyDescent="0.25">
      <c r="A118" s="9" t="s">
        <v>321</v>
      </c>
      <c r="B118" s="9" t="s">
        <v>275</v>
      </c>
      <c r="C118" s="9" t="s">
        <v>18</v>
      </c>
      <c r="D118" s="9" t="s">
        <v>23</v>
      </c>
      <c r="E118" s="9" t="str">
        <f>IF(G118&lt;Oversigt!$I$8,Oversigt!$H$8,IF(G118&lt;Oversigt!$I$9,Oversigt!$H$9,IF(G118&lt;Oversigt!$I$10,Oversigt!$H$10,IF(G118&lt;Oversigt!$I$11,Oversigt!$H$11,IF(G118&lt;Oversigt!$I$12,Oversigt!$H$12,Oversigt!$H$13)))))</f>
        <v>Rare</v>
      </c>
      <c r="F118" s="9" t="s">
        <v>89</v>
      </c>
      <c r="G118" s="10">
        <v>20</v>
      </c>
      <c r="H118" s="9" t="s">
        <v>128</v>
      </c>
      <c r="I118" s="10">
        <v>6</v>
      </c>
      <c r="J118" s="9" t="s">
        <v>198</v>
      </c>
      <c r="K118" s="9" t="s">
        <v>290</v>
      </c>
      <c r="L118" s="9" t="s">
        <v>322</v>
      </c>
      <c r="M118" s="9" t="s">
        <v>29</v>
      </c>
      <c r="N118" s="9"/>
      <c r="O118" s="9"/>
      <c r="P118" s="9"/>
      <c r="Q118" s="9" t="s">
        <v>292</v>
      </c>
      <c r="R118" s="9"/>
      <c r="S118" s="9" t="s">
        <v>323</v>
      </c>
    </row>
    <row r="119" spans="1:19" x14ac:dyDescent="0.25">
      <c r="A119" s="9" t="s">
        <v>521</v>
      </c>
      <c r="B119" s="9" t="s">
        <v>275</v>
      </c>
      <c r="C119" s="9" t="s">
        <v>18</v>
      </c>
      <c r="D119" s="9" t="s">
        <v>23</v>
      </c>
      <c r="E119" s="9" t="str">
        <f>IF(G119&lt;Oversigt!$I$8,Oversigt!$H$8,IF(G119&lt;Oversigt!$I$9,Oversigt!$H$9,IF(G119&lt;Oversigt!$I$10,Oversigt!$H$10,IF(G119&lt;Oversigt!$I$11,Oversigt!$H$11,IF(G119&lt;Oversigt!$I$12,Oversigt!$H$12,Oversigt!$H$13)))))</f>
        <v>Rare</v>
      </c>
      <c r="F119" s="9" t="s">
        <v>77</v>
      </c>
      <c r="G119" s="10">
        <v>25</v>
      </c>
      <c r="H119" s="9" t="s">
        <v>94</v>
      </c>
      <c r="I119" s="10">
        <v>2</v>
      </c>
      <c r="J119" s="9" t="s">
        <v>203</v>
      </c>
      <c r="K119" s="9" t="s">
        <v>193</v>
      </c>
      <c r="L119" s="9" t="s">
        <v>522</v>
      </c>
      <c r="M119" s="9" t="s">
        <v>36</v>
      </c>
      <c r="N119" s="9"/>
      <c r="O119" s="9"/>
      <c r="P119" s="9"/>
      <c r="Q119" s="9" t="s">
        <v>173</v>
      </c>
      <c r="R119" s="9"/>
      <c r="S119" s="9" t="s">
        <v>523</v>
      </c>
    </row>
    <row r="120" spans="1:19" x14ac:dyDescent="0.25">
      <c r="A120" s="9" t="s">
        <v>566</v>
      </c>
      <c r="B120" s="9" t="s">
        <v>275</v>
      </c>
      <c r="C120" s="9" t="s">
        <v>18</v>
      </c>
      <c r="D120" s="9" t="s">
        <v>23</v>
      </c>
      <c r="E120" s="9" t="str">
        <f>IF(G120&lt;Oversigt!$I$8,Oversigt!$H$8,IF(G120&lt;Oversigt!$I$9,Oversigt!$H$9,IF(G120&lt;Oversigt!$I$10,Oversigt!$H$10,IF(G120&lt;Oversigt!$I$11,Oversigt!$H$11,IF(G120&lt;Oversigt!$I$12,Oversigt!$H$12,Oversigt!$H$13)))))</f>
        <v>Rare</v>
      </c>
      <c r="F120" s="9" t="s">
        <v>77</v>
      </c>
      <c r="G120" s="10">
        <v>25</v>
      </c>
      <c r="H120" s="9" t="s">
        <v>191</v>
      </c>
      <c r="I120" s="10">
        <v>3</v>
      </c>
      <c r="J120" s="9" t="s">
        <v>192</v>
      </c>
      <c r="K120" s="9" t="s">
        <v>290</v>
      </c>
      <c r="L120" s="9" t="s">
        <v>567</v>
      </c>
      <c r="M120" s="9" t="s">
        <v>31</v>
      </c>
      <c r="N120" s="9"/>
      <c r="O120" s="9"/>
      <c r="P120" s="9"/>
      <c r="Q120" s="9" t="s">
        <v>173</v>
      </c>
      <c r="R120" s="9"/>
      <c r="S120" s="9" t="s">
        <v>568</v>
      </c>
    </row>
    <row r="121" spans="1:19" x14ac:dyDescent="0.25">
      <c r="A121" s="9" t="s">
        <v>301</v>
      </c>
      <c r="B121" s="9" t="s">
        <v>275</v>
      </c>
      <c r="C121" s="9" t="s">
        <v>18</v>
      </c>
      <c r="D121" s="9" t="s">
        <v>23</v>
      </c>
      <c r="E121" s="9" t="str">
        <f>IF(G121&lt;Oversigt!$I$8,Oversigt!$H$8,IF(G121&lt;Oversigt!$I$9,Oversigt!$H$9,IF(G121&lt;Oversigt!$I$10,Oversigt!$H$10,IF(G121&lt;Oversigt!$I$11,Oversigt!$H$11,IF(G121&lt;Oversigt!$I$12,Oversigt!$H$12,Oversigt!$H$13)))))</f>
        <v>Rare</v>
      </c>
      <c r="F121" s="9" t="s">
        <v>297</v>
      </c>
      <c r="G121" s="10">
        <v>30</v>
      </c>
      <c r="H121" s="9" t="s">
        <v>302</v>
      </c>
      <c r="I121" s="10">
        <v>7</v>
      </c>
      <c r="J121" s="9" t="s">
        <v>303</v>
      </c>
      <c r="K121" s="9" t="s">
        <v>290</v>
      </c>
      <c r="L121" s="9" t="s">
        <v>304</v>
      </c>
      <c r="M121" s="9" t="s">
        <v>29</v>
      </c>
      <c r="N121" s="9"/>
      <c r="O121" s="9"/>
      <c r="P121" s="9"/>
      <c r="Q121" s="9" t="s">
        <v>173</v>
      </c>
      <c r="R121" s="9"/>
      <c r="S121" s="9" t="s">
        <v>305</v>
      </c>
    </row>
    <row r="122" spans="1:19" x14ac:dyDescent="0.25">
      <c r="A122" s="9" t="s">
        <v>310</v>
      </c>
      <c r="B122" s="9" t="s">
        <v>275</v>
      </c>
      <c r="C122" s="9" t="s">
        <v>18</v>
      </c>
      <c r="D122" s="9" t="s">
        <v>23</v>
      </c>
      <c r="E122" s="9" t="str">
        <f>IF(G122&lt;Oversigt!$I$8,Oversigt!$H$8,IF(G122&lt;Oversigt!$I$9,Oversigt!$H$9,IF(G122&lt;Oversigt!$I$10,Oversigt!$H$10,IF(G122&lt;Oversigt!$I$11,Oversigt!$H$11,IF(G122&lt;Oversigt!$I$12,Oversigt!$H$12,Oversigt!$H$13)))))</f>
        <v>Very Rare</v>
      </c>
      <c r="F122" s="9" t="s">
        <v>119</v>
      </c>
      <c r="G122" s="10">
        <v>50</v>
      </c>
      <c r="H122" s="9" t="s">
        <v>128</v>
      </c>
      <c r="I122" s="10">
        <v>6</v>
      </c>
      <c r="J122" s="9" t="s">
        <v>311</v>
      </c>
      <c r="K122" s="9" t="s">
        <v>290</v>
      </c>
      <c r="L122" s="9" t="s">
        <v>312</v>
      </c>
      <c r="M122" s="9" t="s">
        <v>30</v>
      </c>
      <c r="N122" s="9"/>
      <c r="O122" s="9"/>
      <c r="P122" s="9"/>
      <c r="Q122" s="9" t="s">
        <v>173</v>
      </c>
      <c r="R122" s="9"/>
      <c r="S122" s="9" t="s">
        <v>313</v>
      </c>
    </row>
    <row r="123" spans="1:19" x14ac:dyDescent="0.25">
      <c r="A123" s="9" t="s">
        <v>459</v>
      </c>
      <c r="B123" s="9" t="s">
        <v>190</v>
      </c>
      <c r="C123" s="9" t="s">
        <v>18</v>
      </c>
      <c r="D123" s="9" t="s">
        <v>23</v>
      </c>
      <c r="E123" s="9" t="str">
        <f>IF(G123&lt;Oversigt!$I$8,Oversigt!$H$8,IF(G123&lt;Oversigt!$I$9,Oversigt!$H$9,IF(G123&lt;Oversigt!$I$10,Oversigt!$H$10,IF(G123&lt;Oversigt!$I$11,Oversigt!$H$11,IF(G123&lt;Oversigt!$I$12,Oversigt!$H$12,Oversigt!$H$13)))))</f>
        <v>Common</v>
      </c>
      <c r="F123" s="9" t="s">
        <v>114</v>
      </c>
      <c r="G123" s="10">
        <v>1</v>
      </c>
      <c r="H123" s="9" t="s">
        <v>191</v>
      </c>
      <c r="I123" s="10">
        <v>3</v>
      </c>
      <c r="J123" s="9" t="s">
        <v>460</v>
      </c>
      <c r="K123" s="9" t="s">
        <v>171</v>
      </c>
      <c r="L123" s="9" t="s">
        <v>461</v>
      </c>
      <c r="M123" s="9"/>
      <c r="N123" s="9"/>
      <c r="O123" s="9"/>
      <c r="P123" s="9"/>
      <c r="Q123" s="9" t="s">
        <v>462</v>
      </c>
      <c r="R123" s="9"/>
      <c r="S123" s="9" t="s">
        <v>463</v>
      </c>
    </row>
    <row r="124" spans="1:19" x14ac:dyDescent="0.25">
      <c r="A124" s="9" t="s">
        <v>196</v>
      </c>
      <c r="B124" s="9" t="s">
        <v>190</v>
      </c>
      <c r="C124" s="9" t="s">
        <v>18</v>
      </c>
      <c r="D124" s="9" t="s">
        <v>23</v>
      </c>
      <c r="E124" s="9" t="str">
        <f>IF(G124&lt;Oversigt!$I$8,Oversigt!$H$8,IF(G124&lt;Oversigt!$I$9,Oversigt!$H$9,IF(G124&lt;Oversigt!$I$10,Oversigt!$H$10,IF(G124&lt;Oversigt!$I$11,Oversigt!$H$11,IF(G124&lt;Oversigt!$I$12,Oversigt!$H$12,Oversigt!$H$13)))))</f>
        <v>Very Rare</v>
      </c>
      <c r="F124" s="9" t="s">
        <v>119</v>
      </c>
      <c r="G124" s="10">
        <v>50</v>
      </c>
      <c r="H124" s="9" t="s">
        <v>197</v>
      </c>
      <c r="I124" s="10">
        <v>18</v>
      </c>
      <c r="J124" s="9" t="s">
        <v>198</v>
      </c>
      <c r="K124" s="9" t="s">
        <v>193</v>
      </c>
      <c r="L124" s="9" t="s">
        <v>199</v>
      </c>
      <c r="M124" s="9" t="s">
        <v>32</v>
      </c>
      <c r="N124" s="9"/>
      <c r="O124" s="9"/>
      <c r="P124" s="9"/>
      <c r="Q124" s="9" t="s">
        <v>173</v>
      </c>
      <c r="R124" s="9"/>
      <c r="S124" s="9" t="s">
        <v>200</v>
      </c>
    </row>
    <row r="125" spans="1:19" x14ac:dyDescent="0.25">
      <c r="A125" s="9" t="s">
        <v>405</v>
      </c>
      <c r="B125" s="9" t="s">
        <v>190</v>
      </c>
      <c r="C125" s="9" t="s">
        <v>18</v>
      </c>
      <c r="D125" s="9" t="s">
        <v>23</v>
      </c>
      <c r="E125" s="9" t="str">
        <f>IF(G125&lt;Oversigt!$I$8,Oversigt!$H$8,IF(G125&lt;Oversigt!$I$9,Oversigt!$H$9,IF(G125&lt;Oversigt!$I$10,Oversigt!$H$10,IF(G125&lt;Oversigt!$I$11,Oversigt!$H$11,IF(G125&lt;Oversigt!$I$12,Oversigt!$H$12,Oversigt!$H$13)))))</f>
        <v>Very Rare</v>
      </c>
      <c r="F125" s="9" t="s">
        <v>119</v>
      </c>
      <c r="G125" s="10">
        <v>50</v>
      </c>
      <c r="H125" s="9" t="s">
        <v>94</v>
      </c>
      <c r="I125" s="10">
        <v>2</v>
      </c>
      <c r="J125" s="9" t="s">
        <v>203</v>
      </c>
      <c r="K125" s="9" t="s">
        <v>193</v>
      </c>
      <c r="L125" s="9" t="s">
        <v>406</v>
      </c>
      <c r="M125" s="9" t="s">
        <v>34</v>
      </c>
      <c r="N125" s="9"/>
      <c r="O125" s="9"/>
      <c r="P125" s="9"/>
      <c r="Q125" s="9" t="s">
        <v>173</v>
      </c>
      <c r="R125" s="9"/>
      <c r="S125" s="9" t="s">
        <v>407</v>
      </c>
    </row>
    <row r="126" spans="1:19" x14ac:dyDescent="0.25">
      <c r="A126" s="9" t="s">
        <v>189</v>
      </c>
      <c r="B126" s="9" t="s">
        <v>190</v>
      </c>
      <c r="C126" s="9" t="s">
        <v>18</v>
      </c>
      <c r="D126" s="9" t="s">
        <v>23</v>
      </c>
      <c r="E126" s="9" t="str">
        <f>IF(G126&lt;Oversigt!$I$8,Oversigt!$H$8,IF(G126&lt;Oversigt!$I$9,Oversigt!$H$9,IF(G126&lt;Oversigt!$I$10,Oversigt!$H$10,IF(G126&lt;Oversigt!$I$11,Oversigt!$H$11,IF(G126&lt;Oversigt!$I$12,Oversigt!$H$12,Oversigt!$H$13)))))</f>
        <v>Very Rare</v>
      </c>
      <c r="F126" s="9" t="s">
        <v>149</v>
      </c>
      <c r="G126" s="10">
        <v>75</v>
      </c>
      <c r="H126" s="9" t="s">
        <v>191</v>
      </c>
      <c r="I126" s="10">
        <v>3</v>
      </c>
      <c r="J126" s="9" t="s">
        <v>192</v>
      </c>
      <c r="K126" s="9" t="s">
        <v>193</v>
      </c>
      <c r="L126" s="9" t="s">
        <v>194</v>
      </c>
      <c r="M126" s="9" t="s">
        <v>36</v>
      </c>
      <c r="N126" s="9"/>
      <c r="O126" s="9"/>
      <c r="P126" s="9"/>
      <c r="Q126" s="9" t="s">
        <v>173</v>
      </c>
      <c r="R126" s="9"/>
      <c r="S126" s="9" t="s">
        <v>195</v>
      </c>
    </row>
    <row r="127" spans="1:19" x14ac:dyDescent="0.25">
      <c r="A127" s="9" t="s">
        <v>486</v>
      </c>
      <c r="B127" s="9" t="s">
        <v>190</v>
      </c>
      <c r="C127" s="9" t="s">
        <v>18</v>
      </c>
      <c r="D127" s="9" t="s">
        <v>25</v>
      </c>
      <c r="E127" s="9" t="str">
        <f>IF(G127&lt;Oversigt!$I$8,Oversigt!$H$8,IF(G127&lt;Oversigt!$I$9,Oversigt!$H$9,IF(G127&lt;Oversigt!$I$10,Oversigt!$H$10,IF(G127&lt;Oversigt!$I$11,Oversigt!$H$11,IF(G127&lt;Oversigt!$I$12,Oversigt!$H$12,Oversigt!$H$13)))))</f>
        <v>Legendary</v>
      </c>
      <c r="F127" s="9" t="s">
        <v>159</v>
      </c>
      <c r="G127" s="10">
        <v>250</v>
      </c>
      <c r="H127" s="9" t="s">
        <v>191</v>
      </c>
      <c r="I127" s="10">
        <v>3</v>
      </c>
      <c r="J127" s="9" t="s">
        <v>198</v>
      </c>
      <c r="K127" s="9" t="s">
        <v>193</v>
      </c>
      <c r="L127" s="9" t="s">
        <v>487</v>
      </c>
      <c r="M127" s="9" t="s">
        <v>36</v>
      </c>
      <c r="N127" s="9"/>
      <c r="O127" s="9"/>
      <c r="P127" s="9"/>
      <c r="Q127" s="9" t="s">
        <v>173</v>
      </c>
      <c r="R127" s="9"/>
      <c r="S127" s="9" t="s">
        <v>488</v>
      </c>
    </row>
    <row r="128" spans="1:19" x14ac:dyDescent="0.25">
      <c r="A128" s="9" t="s">
        <v>450</v>
      </c>
      <c r="B128" s="9" t="s">
        <v>190</v>
      </c>
      <c r="C128" s="9" t="s">
        <v>18</v>
      </c>
      <c r="D128" s="9" t="s">
        <v>25</v>
      </c>
      <c r="E128" s="9" t="str">
        <f>IF(G128&lt;Oversigt!$I$8,Oversigt!$H$8,IF(G128&lt;Oversigt!$I$9,Oversigt!$H$9,IF(G128&lt;Oversigt!$I$10,Oversigt!$H$10,IF(G128&lt;Oversigt!$I$11,Oversigt!$H$11,IF(G128&lt;Oversigt!$I$12,Oversigt!$H$12,Oversigt!$H$13)))))</f>
        <v>Legendary</v>
      </c>
      <c r="F128" s="9" t="s">
        <v>108</v>
      </c>
      <c r="G128" s="10">
        <v>500</v>
      </c>
      <c r="H128" s="9" t="s">
        <v>145</v>
      </c>
      <c r="I128" s="10">
        <v>10</v>
      </c>
      <c r="J128" s="9" t="s">
        <v>303</v>
      </c>
      <c r="K128" s="9" t="s">
        <v>193</v>
      </c>
      <c r="L128" s="9" t="s">
        <v>451</v>
      </c>
      <c r="M128" s="9" t="s">
        <v>34</v>
      </c>
      <c r="N128" s="9"/>
      <c r="O128" s="9"/>
      <c r="P128" s="9"/>
      <c r="Q128" s="9" t="s">
        <v>173</v>
      </c>
      <c r="R128" s="9"/>
      <c r="S128" s="9" t="s">
        <v>452</v>
      </c>
    </row>
    <row r="129" spans="1:19" x14ac:dyDescent="0.25">
      <c r="A129" s="9" t="s">
        <v>337</v>
      </c>
      <c r="B129" s="9" t="s">
        <v>82</v>
      </c>
      <c r="C129" s="9" t="s">
        <v>16</v>
      </c>
      <c r="D129" s="9" t="s">
        <v>23</v>
      </c>
      <c r="E129" s="9" t="str">
        <f>IF(G129&lt;Oversigt!$I$8,Oversigt!$H$8,IF(G129&lt;Oversigt!$I$9,Oversigt!$H$9,IF(G129&lt;Oversigt!$I$10,Oversigt!$H$10,IF(G129&lt;Oversigt!$I$11,Oversigt!$H$11,IF(G129&lt;Oversigt!$I$12,Oversigt!$H$12,Oversigt!$H$13)))))</f>
        <v>Rare</v>
      </c>
      <c r="F129" s="9" t="s">
        <v>97</v>
      </c>
      <c r="G129" s="10">
        <v>10</v>
      </c>
      <c r="H129" s="9" t="s">
        <v>165</v>
      </c>
      <c r="I129" s="10">
        <v>12</v>
      </c>
      <c r="J129" s="9"/>
      <c r="K129" s="9"/>
      <c r="L129" s="9"/>
      <c r="M129" s="9"/>
      <c r="N129" s="9" t="s">
        <v>338</v>
      </c>
      <c r="O129" s="9"/>
      <c r="P129" s="9"/>
      <c r="Q129" s="9" t="s">
        <v>55</v>
      </c>
      <c r="R129" s="9"/>
      <c r="S129" s="9" t="s">
        <v>339</v>
      </c>
    </row>
    <row r="130" spans="1:19" x14ac:dyDescent="0.25">
      <c r="A130" s="9" t="s">
        <v>155</v>
      </c>
      <c r="B130" s="9" t="s">
        <v>82</v>
      </c>
      <c r="C130" s="9" t="s">
        <v>16</v>
      </c>
      <c r="D130" s="9" t="s">
        <v>23</v>
      </c>
      <c r="E130" s="9" t="str">
        <f>IF(G130&lt;Oversigt!$I$8,Oversigt!$H$8,IF(G130&lt;Oversigt!$I$9,Oversigt!$H$9,IF(G130&lt;Oversigt!$I$10,Oversigt!$H$10,IF(G130&lt;Oversigt!$I$11,Oversigt!$H$11,IF(G130&lt;Oversigt!$I$12,Oversigt!$H$12,Oversigt!$H$13)))))</f>
        <v>Very Rare</v>
      </c>
      <c r="F130" s="9" t="s">
        <v>119</v>
      </c>
      <c r="G130" s="10">
        <v>50</v>
      </c>
      <c r="H130" s="9" t="s">
        <v>84</v>
      </c>
      <c r="I130" s="10">
        <v>20</v>
      </c>
      <c r="J130" s="9"/>
      <c r="K130" s="9"/>
      <c r="L130" s="9"/>
      <c r="M130" s="9"/>
      <c r="N130" s="9" t="s">
        <v>156</v>
      </c>
      <c r="O130" s="9"/>
      <c r="P130" s="9"/>
      <c r="Q130" s="9" t="s">
        <v>55</v>
      </c>
      <c r="R130" s="9"/>
      <c r="S130" s="9" t="s">
        <v>157</v>
      </c>
    </row>
    <row r="131" spans="1:19" x14ac:dyDescent="0.25">
      <c r="A131" s="9" t="s">
        <v>559</v>
      </c>
      <c r="B131" s="9" t="s">
        <v>82</v>
      </c>
      <c r="C131" s="9" t="s">
        <v>16</v>
      </c>
      <c r="D131" s="9" t="s">
        <v>23</v>
      </c>
      <c r="E131" s="9" t="str">
        <f>IF(G131&lt;Oversigt!$I$8,Oversigt!$H$8,IF(G131&lt;Oversigt!$I$9,Oversigt!$H$9,IF(G131&lt;Oversigt!$I$10,Oversigt!$H$10,IF(G131&lt;Oversigt!$I$11,Oversigt!$H$11,IF(G131&lt;Oversigt!$I$12,Oversigt!$H$12,Oversigt!$H$13)))))</f>
        <v>Very Rare</v>
      </c>
      <c r="F131" s="9" t="s">
        <v>119</v>
      </c>
      <c r="G131" s="10">
        <v>50</v>
      </c>
      <c r="H131" s="9" t="s">
        <v>560</v>
      </c>
      <c r="I131" s="10">
        <v>45</v>
      </c>
      <c r="J131" s="9"/>
      <c r="K131" s="9"/>
      <c r="L131" s="9"/>
      <c r="M131" s="9"/>
      <c r="N131" s="9" t="s">
        <v>85</v>
      </c>
      <c r="O131" s="9"/>
      <c r="P131" s="9" t="s">
        <v>153</v>
      </c>
      <c r="Q131" s="9" t="s">
        <v>55</v>
      </c>
      <c r="R131" s="9"/>
      <c r="S131" s="9" t="s">
        <v>561</v>
      </c>
    </row>
    <row r="132" spans="1:19" x14ac:dyDescent="0.25">
      <c r="A132" s="9" t="s">
        <v>612</v>
      </c>
      <c r="B132" s="9" t="s">
        <v>82</v>
      </c>
      <c r="C132" s="9" t="s">
        <v>16</v>
      </c>
      <c r="D132" s="9" t="s">
        <v>23</v>
      </c>
      <c r="E132" s="9" t="str">
        <f>IF(G132&lt;Oversigt!$I$8,Oversigt!$H$8,IF(G132&lt;Oversigt!$I$9,Oversigt!$H$9,IF(G132&lt;Oversigt!$I$10,Oversigt!$H$10,IF(G132&lt;Oversigt!$I$11,Oversigt!$H$11,IF(G132&lt;Oversigt!$I$12,Oversigt!$H$12,Oversigt!$H$13)))))</f>
        <v>Very Rare</v>
      </c>
      <c r="F132" s="9" t="s">
        <v>149</v>
      </c>
      <c r="G132" s="10">
        <v>75</v>
      </c>
      <c r="H132" s="9" t="s">
        <v>560</v>
      </c>
      <c r="I132" s="10">
        <v>45</v>
      </c>
      <c r="J132" s="9"/>
      <c r="K132" s="9"/>
      <c r="L132" s="9"/>
      <c r="M132" s="9"/>
      <c r="N132" s="9" t="s">
        <v>85</v>
      </c>
      <c r="O132" s="9"/>
      <c r="P132" s="9" t="s">
        <v>153</v>
      </c>
      <c r="Q132" s="9" t="s">
        <v>613</v>
      </c>
      <c r="R132" s="9"/>
      <c r="S132" s="9" t="s">
        <v>614</v>
      </c>
    </row>
    <row r="133" spans="1:19" x14ac:dyDescent="0.25">
      <c r="A133" s="9" t="s">
        <v>81</v>
      </c>
      <c r="B133" s="9" t="s">
        <v>82</v>
      </c>
      <c r="C133" s="9" t="s">
        <v>16</v>
      </c>
      <c r="D133" s="9" t="s">
        <v>23</v>
      </c>
      <c r="E133" s="9" t="str">
        <f>IF(G133&lt;Oversigt!$I$8,Oversigt!$H$8,IF(G133&lt;Oversigt!$I$9,Oversigt!$H$9,IF(G133&lt;Oversigt!$I$10,Oversigt!$H$10,IF(G133&lt;Oversigt!$I$11,Oversigt!$H$11,IF(G133&lt;Oversigt!$I$12,Oversigt!$H$12,Oversigt!$H$13)))))</f>
        <v>Legendary</v>
      </c>
      <c r="F133" s="9" t="s">
        <v>83</v>
      </c>
      <c r="G133" s="10">
        <v>400</v>
      </c>
      <c r="H133" s="9" t="s">
        <v>84</v>
      </c>
      <c r="I133" s="10">
        <v>20</v>
      </c>
      <c r="J133" s="9"/>
      <c r="K133" s="9"/>
      <c r="L133" s="9"/>
      <c r="M133" s="9"/>
      <c r="N133" s="9" t="s">
        <v>85</v>
      </c>
      <c r="O133" s="9"/>
      <c r="P133" s="9"/>
      <c r="Q133" s="9" t="s">
        <v>55</v>
      </c>
      <c r="R133" s="9"/>
      <c r="S133" s="9" t="s">
        <v>86</v>
      </c>
    </row>
    <row r="134" spans="1:19" x14ac:dyDescent="0.25">
      <c r="A134" s="9" t="s">
        <v>324</v>
      </c>
      <c r="B134" s="9" t="s">
        <v>82</v>
      </c>
      <c r="C134" s="9" t="s">
        <v>16</v>
      </c>
      <c r="D134" s="9" t="s">
        <v>23</v>
      </c>
      <c r="E134" s="9" t="str">
        <f>IF(G134&lt;Oversigt!$I$8,Oversigt!$H$8,IF(G134&lt;Oversigt!$I$9,Oversigt!$H$9,IF(G134&lt;Oversigt!$I$10,Oversigt!$H$10,IF(G134&lt;Oversigt!$I$11,Oversigt!$H$11,IF(G134&lt;Oversigt!$I$12,Oversigt!$H$12,Oversigt!$H$13)))))</f>
        <v>Legendary</v>
      </c>
      <c r="F134" s="9" t="s">
        <v>325</v>
      </c>
      <c r="G134" s="10">
        <v>750</v>
      </c>
      <c r="H134" s="9" t="s">
        <v>261</v>
      </c>
      <c r="I134" s="10">
        <v>40</v>
      </c>
      <c r="J134" s="9"/>
      <c r="K134" s="9"/>
      <c r="L134" s="9"/>
      <c r="M134" s="9"/>
      <c r="N134" s="9" t="s">
        <v>326</v>
      </c>
      <c r="O134" s="9"/>
      <c r="P134" s="9" t="s">
        <v>153</v>
      </c>
      <c r="Q134" s="9" t="s">
        <v>55</v>
      </c>
      <c r="R134" s="9"/>
      <c r="S134" s="9" t="s">
        <v>327</v>
      </c>
    </row>
    <row r="135" spans="1:19" x14ac:dyDescent="0.25">
      <c r="A135" s="9" t="s">
        <v>448</v>
      </c>
      <c r="B135" s="9" t="s">
        <v>118</v>
      </c>
      <c r="C135" s="9" t="s">
        <v>15</v>
      </c>
      <c r="D135" s="9" t="s">
        <v>25</v>
      </c>
      <c r="E135" s="9" t="str">
        <f>IF(G135&lt;Oversigt!$I$8,Oversigt!$H$8,IF(G135&lt;Oversigt!$I$9,Oversigt!$H$9,IF(G135&lt;Oversigt!$I$10,Oversigt!$H$10,IF(G135&lt;Oversigt!$I$11,Oversigt!$H$11,IF(G135&lt;Oversigt!$I$12,Oversigt!$H$12,Oversigt!$H$13)))))</f>
        <v>Uncommon</v>
      </c>
      <c r="F135" s="9" t="s">
        <v>127</v>
      </c>
      <c r="G135" s="10">
        <v>8</v>
      </c>
      <c r="H135" s="9"/>
      <c r="I135" s="10"/>
      <c r="J135" s="9"/>
      <c r="K135" s="9"/>
      <c r="L135" s="9"/>
      <c r="M135" s="9"/>
      <c r="N135" s="9"/>
      <c r="O135" s="9"/>
      <c r="P135" s="9"/>
      <c r="Q135" s="9" t="s">
        <v>120</v>
      </c>
      <c r="R135" s="9"/>
      <c r="S135" s="9" t="s">
        <v>449</v>
      </c>
    </row>
    <row r="136" spans="1:19" x14ac:dyDescent="0.25">
      <c r="A136" s="9" t="s">
        <v>432</v>
      </c>
      <c r="B136" s="9" t="s">
        <v>118</v>
      </c>
      <c r="C136" s="9" t="s">
        <v>15</v>
      </c>
      <c r="D136" s="9" t="s">
        <v>25</v>
      </c>
      <c r="E136" s="9" t="str">
        <f>IF(G136&lt;Oversigt!$I$8,Oversigt!$H$8,IF(G136&lt;Oversigt!$I$9,Oversigt!$H$9,IF(G136&lt;Oversigt!$I$10,Oversigt!$H$10,IF(G136&lt;Oversigt!$I$11,Oversigt!$H$11,IF(G136&lt;Oversigt!$I$12,Oversigt!$H$12,Oversigt!$H$13)))))</f>
        <v>Rare</v>
      </c>
      <c r="F136" s="9" t="s">
        <v>77</v>
      </c>
      <c r="G136" s="10">
        <v>25</v>
      </c>
      <c r="H136" s="9"/>
      <c r="I136" s="10"/>
      <c r="J136" s="9"/>
      <c r="K136" s="9"/>
      <c r="L136" s="9"/>
      <c r="M136" s="9"/>
      <c r="N136" s="9"/>
      <c r="O136" s="9"/>
      <c r="P136" s="9"/>
      <c r="Q136" s="9" t="s">
        <v>120</v>
      </c>
      <c r="R136" s="9"/>
      <c r="S136" s="9" t="s">
        <v>433</v>
      </c>
    </row>
    <row r="137" spans="1:19" x14ac:dyDescent="0.25">
      <c r="A137" s="9" t="s">
        <v>499</v>
      </c>
      <c r="B137" s="9" t="s">
        <v>118</v>
      </c>
      <c r="C137" s="9" t="s">
        <v>15</v>
      </c>
      <c r="D137" s="9" t="s">
        <v>25</v>
      </c>
      <c r="E137" s="9" t="str">
        <f>IF(G137&lt;Oversigt!$I$8,Oversigt!$H$8,IF(G137&lt;Oversigt!$I$9,Oversigt!$H$9,IF(G137&lt;Oversigt!$I$10,Oversigt!$H$10,IF(G137&lt;Oversigt!$I$11,Oversigt!$H$11,IF(G137&lt;Oversigt!$I$12,Oversigt!$H$12,Oversigt!$H$13)))))</f>
        <v>Rare</v>
      </c>
      <c r="F137" s="9" t="s">
        <v>297</v>
      </c>
      <c r="G137" s="10">
        <v>30</v>
      </c>
      <c r="H137" s="9"/>
      <c r="I137" s="10"/>
      <c r="J137" s="9"/>
      <c r="K137" s="9"/>
      <c r="L137" s="9"/>
      <c r="M137" s="9"/>
      <c r="N137" s="9"/>
      <c r="O137" s="9"/>
      <c r="P137" s="9"/>
      <c r="Q137" s="9" t="s">
        <v>120</v>
      </c>
      <c r="R137" s="9"/>
      <c r="S137" s="9" t="s">
        <v>500</v>
      </c>
    </row>
    <row r="138" spans="1:19" x14ac:dyDescent="0.25">
      <c r="A138" s="9" t="s">
        <v>117</v>
      </c>
      <c r="B138" s="9" t="s">
        <v>118</v>
      </c>
      <c r="C138" s="9" t="s">
        <v>15</v>
      </c>
      <c r="D138" s="9" t="s">
        <v>25</v>
      </c>
      <c r="E138" s="9" t="str">
        <f>IF(G138&lt;Oversigt!$I$8,Oversigt!$H$8,IF(G138&lt;Oversigt!$I$9,Oversigt!$H$9,IF(G138&lt;Oversigt!$I$10,Oversigt!$H$10,IF(G138&lt;Oversigt!$I$11,Oversigt!$H$11,IF(G138&lt;Oversigt!$I$12,Oversigt!$H$12,Oversigt!$H$13)))))</f>
        <v>Very Rare</v>
      </c>
      <c r="F138" s="9" t="s">
        <v>119</v>
      </c>
      <c r="G138" s="10">
        <v>50</v>
      </c>
      <c r="H138" s="9"/>
      <c r="I138" s="10"/>
      <c r="J138" s="9"/>
      <c r="K138" s="9"/>
      <c r="L138" s="9"/>
      <c r="M138" s="9"/>
      <c r="N138" s="9"/>
      <c r="O138" s="9"/>
      <c r="P138" s="9"/>
      <c r="Q138" s="9" t="s">
        <v>120</v>
      </c>
      <c r="R138" s="9"/>
      <c r="S138" s="9" t="s">
        <v>121</v>
      </c>
    </row>
    <row r="139" spans="1:19" x14ac:dyDescent="0.25">
      <c r="A139" s="9" t="s">
        <v>229</v>
      </c>
      <c r="B139" s="9" t="s">
        <v>118</v>
      </c>
      <c r="C139" s="9" t="s">
        <v>15</v>
      </c>
      <c r="D139" s="9" t="s">
        <v>25</v>
      </c>
      <c r="E139" s="9" t="str">
        <f>IF(G139&lt;Oversigt!$I$8,Oversigt!$H$8,IF(G139&lt;Oversigt!$I$9,Oversigt!$H$9,IF(G139&lt;Oversigt!$I$10,Oversigt!$H$10,IF(G139&lt;Oversigt!$I$11,Oversigt!$H$11,IF(G139&lt;Oversigt!$I$12,Oversigt!$H$12,Oversigt!$H$13)))))</f>
        <v>Very Rare</v>
      </c>
      <c r="F139" s="9" t="s">
        <v>119</v>
      </c>
      <c r="G139" s="10">
        <v>50</v>
      </c>
      <c r="H139" s="9"/>
      <c r="I139" s="10"/>
      <c r="J139" s="9"/>
      <c r="K139" s="9"/>
      <c r="L139" s="9"/>
      <c r="M139" s="9"/>
      <c r="N139" s="9"/>
      <c r="O139" s="9"/>
      <c r="P139" s="9"/>
      <c r="Q139" s="9" t="s">
        <v>120</v>
      </c>
      <c r="R139" s="9"/>
      <c r="S139" s="9" t="s">
        <v>230</v>
      </c>
    </row>
    <row r="140" spans="1:19" x14ac:dyDescent="0.25">
      <c r="A140" s="9" t="s">
        <v>533</v>
      </c>
      <c r="B140" s="9" t="s">
        <v>118</v>
      </c>
      <c r="C140" s="9" t="s">
        <v>15</v>
      </c>
      <c r="D140" s="9" t="s">
        <v>25</v>
      </c>
      <c r="E140" s="9" t="str">
        <f>IF(G140&lt;Oversigt!$I$8,Oversigt!$H$8,IF(G140&lt;Oversigt!$I$9,Oversigt!$H$9,IF(G140&lt;Oversigt!$I$10,Oversigt!$H$10,IF(G140&lt;Oversigt!$I$11,Oversigt!$H$11,IF(G140&lt;Oversigt!$I$12,Oversigt!$H$12,Oversigt!$H$13)))))</f>
        <v>Very Rare</v>
      </c>
      <c r="F140" s="9" t="s">
        <v>149</v>
      </c>
      <c r="G140" s="10">
        <v>75</v>
      </c>
      <c r="H140" s="9"/>
      <c r="I140" s="10"/>
      <c r="J140" s="9"/>
      <c r="K140" s="9"/>
      <c r="L140" s="9"/>
      <c r="M140" s="9"/>
      <c r="N140" s="9"/>
      <c r="O140" s="9"/>
      <c r="P140" s="9"/>
      <c r="Q140" s="9" t="s">
        <v>120</v>
      </c>
      <c r="R140" s="9"/>
      <c r="S140" s="9" t="s">
        <v>534</v>
      </c>
    </row>
    <row r="141" spans="1:19" x14ac:dyDescent="0.25">
      <c r="A141" s="9" t="s">
        <v>243</v>
      </c>
      <c r="B141" s="9" t="s">
        <v>118</v>
      </c>
      <c r="C141" s="9" t="s">
        <v>15</v>
      </c>
      <c r="D141" s="9" t="s">
        <v>25</v>
      </c>
      <c r="E141" s="9" t="str">
        <f>IF(G141&lt;Oversigt!$I$8,Oversigt!$H$8,IF(G141&lt;Oversigt!$I$9,Oversigt!$H$9,IF(G141&lt;Oversigt!$I$10,Oversigt!$H$10,IF(G141&lt;Oversigt!$I$11,Oversigt!$H$11,IF(G141&lt;Oversigt!$I$12,Oversigt!$H$12,Oversigt!$H$13)))))</f>
        <v>Very Rare</v>
      </c>
      <c r="F141" s="9" t="s">
        <v>135</v>
      </c>
      <c r="G141" s="10">
        <v>200</v>
      </c>
      <c r="H141" s="9"/>
      <c r="I141" s="10"/>
      <c r="J141" s="9"/>
      <c r="K141" s="9"/>
      <c r="L141" s="9"/>
      <c r="M141" s="9"/>
      <c r="N141" s="9"/>
      <c r="O141" s="9"/>
      <c r="P141" s="9"/>
      <c r="Q141" s="9" t="s">
        <v>120</v>
      </c>
      <c r="R141" s="9"/>
      <c r="S141" s="9" t="s">
        <v>244</v>
      </c>
    </row>
    <row r="142" spans="1:19" x14ac:dyDescent="0.25">
      <c r="A142" s="9" t="s">
        <v>668</v>
      </c>
      <c r="B142" s="9" t="s">
        <v>118</v>
      </c>
      <c r="C142" s="9" t="s">
        <v>15</v>
      </c>
      <c r="D142" s="9" t="s">
        <v>25</v>
      </c>
      <c r="E142" s="9" t="str">
        <f>IF(G142&lt;Oversigt!$I$8,Oversigt!$H$8,IF(G142&lt;Oversigt!$I$9,Oversigt!$H$9,IF(G142&lt;Oversigt!$I$10,Oversigt!$H$10,IF(G142&lt;Oversigt!$I$11,Oversigt!$H$11,IF(G142&lt;Oversigt!$I$12,Oversigt!$H$12,Oversigt!$H$13)))))</f>
        <v>Legendary</v>
      </c>
      <c r="F142" s="9" t="s">
        <v>83</v>
      </c>
      <c r="G142" s="10">
        <v>400</v>
      </c>
      <c r="H142" s="9"/>
      <c r="I142" s="10"/>
      <c r="J142" s="9"/>
      <c r="K142" s="9"/>
      <c r="L142" s="9"/>
      <c r="M142" s="9"/>
      <c r="N142" s="9"/>
      <c r="O142" s="9"/>
      <c r="P142" s="9"/>
      <c r="Q142" s="9" t="s">
        <v>120</v>
      </c>
      <c r="R142" s="9"/>
      <c r="S142" s="9" t="s">
        <v>669</v>
      </c>
    </row>
    <row r="143" spans="1:19" x14ac:dyDescent="0.25">
      <c r="A143" s="9" t="s">
        <v>653</v>
      </c>
      <c r="B143" s="9" t="s">
        <v>107</v>
      </c>
      <c r="C143" s="9" t="s">
        <v>12</v>
      </c>
      <c r="D143" s="9" t="s">
        <v>24</v>
      </c>
      <c r="E143" s="9" t="str">
        <f>IF(G143&lt;Oversigt!$I$8,Oversigt!$H$8,IF(G143&lt;Oversigt!$I$9,Oversigt!$H$9,IF(G143&lt;Oversigt!$I$10,Oversigt!$H$10,IF(G143&lt;Oversigt!$I$11,Oversigt!$H$11,IF(G143&lt;Oversigt!$I$12,Oversigt!$H$12,Oversigt!$H$13)))))</f>
        <v>Very Rare</v>
      </c>
      <c r="F143" s="9" t="s">
        <v>654</v>
      </c>
      <c r="G143" s="10">
        <v>150</v>
      </c>
      <c r="H143" s="9"/>
      <c r="I143" s="10"/>
      <c r="J143" s="9"/>
      <c r="K143" s="9"/>
      <c r="L143" s="9"/>
      <c r="M143" s="9"/>
      <c r="N143" s="9"/>
      <c r="O143" s="9"/>
      <c r="P143" s="9"/>
      <c r="Q143" s="9"/>
      <c r="R143" s="9" t="s">
        <v>439</v>
      </c>
      <c r="S143" s="9" t="s">
        <v>655</v>
      </c>
    </row>
    <row r="144" spans="1:19" x14ac:dyDescent="0.25">
      <c r="A144" s="9" t="s">
        <v>134</v>
      </c>
      <c r="B144" s="9" t="s">
        <v>107</v>
      </c>
      <c r="C144" s="9" t="s">
        <v>12</v>
      </c>
      <c r="D144" s="9" t="s">
        <v>24</v>
      </c>
      <c r="E144" s="9" t="str">
        <f>IF(G144&lt;Oversigt!$I$8,Oversigt!$H$8,IF(G144&lt;Oversigt!$I$9,Oversigt!$H$9,IF(G144&lt;Oversigt!$I$10,Oversigt!$H$10,IF(G144&lt;Oversigt!$I$11,Oversigt!$H$11,IF(G144&lt;Oversigt!$I$12,Oversigt!$H$12,Oversigt!$H$13)))))</f>
        <v>Very Rare</v>
      </c>
      <c r="F144" s="9" t="s">
        <v>135</v>
      </c>
      <c r="G144" s="10">
        <v>200</v>
      </c>
      <c r="H144" s="9"/>
      <c r="I144" s="10"/>
      <c r="J144" s="9"/>
      <c r="K144" s="9"/>
      <c r="L144" s="9"/>
      <c r="M144" s="9"/>
      <c r="N144" s="9"/>
      <c r="O144" s="9"/>
      <c r="P144" s="9"/>
      <c r="Q144" s="9"/>
      <c r="R144" s="9" t="s">
        <v>136</v>
      </c>
      <c r="S144" s="9" t="s">
        <v>137</v>
      </c>
    </row>
    <row r="145" spans="1:19" x14ac:dyDescent="0.25">
      <c r="A145" s="9" t="s">
        <v>402</v>
      </c>
      <c r="B145" s="9" t="s">
        <v>107</v>
      </c>
      <c r="C145" s="9" t="s">
        <v>12</v>
      </c>
      <c r="D145" s="9" t="s">
        <v>24</v>
      </c>
      <c r="E145" s="9" t="str">
        <f>IF(G145&lt;Oversigt!$I$8,Oversigt!$H$8,IF(G145&lt;Oversigt!$I$9,Oversigt!$H$9,IF(G145&lt;Oversigt!$I$10,Oversigt!$H$10,IF(G145&lt;Oversigt!$I$11,Oversigt!$H$11,IF(G145&lt;Oversigt!$I$12,Oversigt!$H$12,Oversigt!$H$13)))))</f>
        <v>Very Rare</v>
      </c>
      <c r="F145" s="9" t="s">
        <v>135</v>
      </c>
      <c r="G145" s="10">
        <v>200</v>
      </c>
      <c r="H145" s="9"/>
      <c r="I145" s="10"/>
      <c r="J145" s="9"/>
      <c r="K145" s="9"/>
      <c r="L145" s="9"/>
      <c r="M145" s="9"/>
      <c r="N145" s="9"/>
      <c r="O145" s="9"/>
      <c r="P145" s="9"/>
      <c r="Q145" s="9"/>
      <c r="R145" s="9" t="s">
        <v>403</v>
      </c>
      <c r="S145" s="9" t="s">
        <v>404</v>
      </c>
    </row>
    <row r="146" spans="1:19" x14ac:dyDescent="0.25">
      <c r="A146" s="9" t="s">
        <v>572</v>
      </c>
      <c r="B146" s="9" t="s">
        <v>107</v>
      </c>
      <c r="C146" s="9" t="s">
        <v>12</v>
      </c>
      <c r="D146" s="9" t="s">
        <v>24</v>
      </c>
      <c r="E146" s="9" t="str">
        <f>IF(G146&lt;Oversigt!$I$8,Oversigt!$H$8,IF(G146&lt;Oversigt!$I$9,Oversigt!$H$9,IF(G146&lt;Oversigt!$I$10,Oversigt!$H$10,IF(G146&lt;Oversigt!$I$11,Oversigt!$H$11,IF(G146&lt;Oversigt!$I$12,Oversigt!$H$12,Oversigt!$H$13)))))</f>
        <v>Very Rare</v>
      </c>
      <c r="F146" s="9" t="s">
        <v>135</v>
      </c>
      <c r="G146" s="10">
        <v>200</v>
      </c>
      <c r="H146" s="9"/>
      <c r="I146" s="10"/>
      <c r="J146" s="9"/>
      <c r="K146" s="9"/>
      <c r="L146" s="9"/>
      <c r="M146" s="9"/>
      <c r="N146" s="9"/>
      <c r="O146" s="9"/>
      <c r="P146" s="9"/>
      <c r="Q146" s="9"/>
      <c r="R146" s="9" t="s">
        <v>403</v>
      </c>
      <c r="S146" s="9" t="s">
        <v>573</v>
      </c>
    </row>
    <row r="147" spans="1:19" x14ac:dyDescent="0.25">
      <c r="A147" s="9" t="s">
        <v>421</v>
      </c>
      <c r="B147" s="9" t="s">
        <v>107</v>
      </c>
      <c r="C147" s="9" t="s">
        <v>12</v>
      </c>
      <c r="D147" s="9" t="s">
        <v>24</v>
      </c>
      <c r="E147" s="9" t="str">
        <f>IF(G147&lt;Oversigt!$I$8,Oversigt!$H$8,IF(G147&lt;Oversigt!$I$9,Oversigt!$H$9,IF(G147&lt;Oversigt!$I$10,Oversigt!$H$10,IF(G147&lt;Oversigt!$I$11,Oversigt!$H$11,IF(G147&lt;Oversigt!$I$12,Oversigt!$H$12,Oversigt!$H$13)))))</f>
        <v>Legendary</v>
      </c>
      <c r="F147" s="9" t="s">
        <v>159</v>
      </c>
      <c r="G147" s="10">
        <v>250</v>
      </c>
      <c r="H147" s="9"/>
      <c r="I147" s="10"/>
      <c r="J147" s="9"/>
      <c r="K147" s="9"/>
      <c r="L147" s="9"/>
      <c r="M147" s="9"/>
      <c r="N147" s="9"/>
      <c r="O147" s="9"/>
      <c r="P147" s="9"/>
      <c r="Q147" s="9"/>
      <c r="R147" s="9" t="s">
        <v>109</v>
      </c>
      <c r="S147" s="9" t="s">
        <v>422</v>
      </c>
    </row>
    <row r="148" spans="1:19" x14ac:dyDescent="0.25">
      <c r="A148" s="9" t="s">
        <v>473</v>
      </c>
      <c r="B148" s="9" t="s">
        <v>107</v>
      </c>
      <c r="C148" s="9" t="s">
        <v>12</v>
      </c>
      <c r="D148" s="9" t="s">
        <v>24</v>
      </c>
      <c r="E148" s="9" t="str">
        <f>IF(G148&lt;Oversigt!$I$8,Oversigt!$H$8,IF(G148&lt;Oversigt!$I$9,Oversigt!$H$9,IF(G148&lt;Oversigt!$I$10,Oversigt!$H$10,IF(G148&lt;Oversigt!$I$11,Oversigt!$H$11,IF(G148&lt;Oversigt!$I$12,Oversigt!$H$12,Oversigt!$H$13)))))</f>
        <v>Legendary</v>
      </c>
      <c r="F148" s="9" t="s">
        <v>159</v>
      </c>
      <c r="G148" s="10">
        <v>250</v>
      </c>
      <c r="H148" s="9"/>
      <c r="I148" s="10"/>
      <c r="J148" s="9"/>
      <c r="K148" s="9"/>
      <c r="L148" s="9"/>
      <c r="M148" s="9"/>
      <c r="N148" s="9"/>
      <c r="O148" s="9"/>
      <c r="P148" s="9"/>
      <c r="Q148" s="9"/>
      <c r="R148" s="9" t="s">
        <v>439</v>
      </c>
      <c r="S148" s="9" t="s">
        <v>474</v>
      </c>
    </row>
    <row r="149" spans="1:19" x14ac:dyDescent="0.25">
      <c r="A149" s="9" t="s">
        <v>256</v>
      </c>
      <c r="B149" s="9" t="s">
        <v>107</v>
      </c>
      <c r="C149" s="9" t="s">
        <v>12</v>
      </c>
      <c r="D149" s="9" t="s">
        <v>24</v>
      </c>
      <c r="E149" s="9" t="str">
        <f>IF(G149&lt;Oversigt!$I$8,Oversigt!$H$8,IF(G149&lt;Oversigt!$I$9,Oversigt!$H$9,IF(G149&lt;Oversigt!$I$10,Oversigt!$H$10,IF(G149&lt;Oversigt!$I$11,Oversigt!$H$11,IF(G149&lt;Oversigt!$I$12,Oversigt!$H$12,Oversigt!$H$13)))))</f>
        <v>Legendary</v>
      </c>
      <c r="F149" s="9" t="s">
        <v>257</v>
      </c>
      <c r="G149" s="10">
        <v>300</v>
      </c>
      <c r="H149" s="9"/>
      <c r="I149" s="10"/>
      <c r="J149" s="9"/>
      <c r="K149" s="9"/>
      <c r="L149" s="9"/>
      <c r="M149" s="9"/>
      <c r="N149" s="9"/>
      <c r="O149" s="9"/>
      <c r="P149" s="9"/>
      <c r="Q149" s="9"/>
      <c r="R149" s="9" t="s">
        <v>109</v>
      </c>
      <c r="S149" s="9" t="s">
        <v>258</v>
      </c>
    </row>
    <row r="150" spans="1:19" x14ac:dyDescent="0.25">
      <c r="A150" s="9" t="s">
        <v>466</v>
      </c>
      <c r="B150" s="9" t="s">
        <v>107</v>
      </c>
      <c r="C150" s="9" t="s">
        <v>12</v>
      </c>
      <c r="D150" s="9" t="s">
        <v>24</v>
      </c>
      <c r="E150" s="9" t="str">
        <f>IF(G150&lt;Oversigt!$I$8,Oversigt!$H$8,IF(G150&lt;Oversigt!$I$9,Oversigt!$H$9,IF(G150&lt;Oversigt!$I$10,Oversigt!$H$10,IF(G150&lt;Oversigt!$I$11,Oversigt!$H$11,IF(G150&lt;Oversigt!$I$12,Oversigt!$H$12,Oversigt!$H$13)))))</f>
        <v>Legendary</v>
      </c>
      <c r="F150" s="9" t="s">
        <v>83</v>
      </c>
      <c r="G150" s="10">
        <v>400</v>
      </c>
      <c r="H150" s="9"/>
      <c r="I150" s="10"/>
      <c r="J150" s="9"/>
      <c r="K150" s="9"/>
      <c r="L150" s="9"/>
      <c r="M150" s="9"/>
      <c r="N150" s="9"/>
      <c r="O150" s="9"/>
      <c r="P150" s="9"/>
      <c r="Q150" s="9"/>
      <c r="R150" s="9" t="s">
        <v>136</v>
      </c>
      <c r="S150" s="9" t="s">
        <v>467</v>
      </c>
    </row>
    <row r="151" spans="1:19" x14ac:dyDescent="0.25">
      <c r="A151" s="9" t="s">
        <v>106</v>
      </c>
      <c r="B151" s="9" t="s">
        <v>107</v>
      </c>
      <c r="C151" s="9" t="s">
        <v>12</v>
      </c>
      <c r="D151" s="9" t="s">
        <v>24</v>
      </c>
      <c r="E151" s="9" t="str">
        <f>IF(G151&lt;Oversigt!$I$8,Oversigt!$H$8,IF(G151&lt;Oversigt!$I$9,Oversigt!$H$9,IF(G151&lt;Oversigt!$I$10,Oversigt!$H$10,IF(G151&lt;Oversigt!$I$11,Oversigt!$H$11,IF(G151&lt;Oversigt!$I$12,Oversigt!$H$12,Oversigt!$H$13)))))</f>
        <v>Legendary</v>
      </c>
      <c r="F151" s="9" t="s">
        <v>108</v>
      </c>
      <c r="G151" s="10">
        <v>500</v>
      </c>
      <c r="H151" s="9"/>
      <c r="I151" s="10"/>
      <c r="J151" s="9"/>
      <c r="K151" s="9"/>
      <c r="L151" s="9"/>
      <c r="M151" s="9"/>
      <c r="N151" s="9"/>
      <c r="O151" s="9"/>
      <c r="P151" s="9"/>
      <c r="Q151" s="9"/>
      <c r="R151" s="9" t="s">
        <v>109</v>
      </c>
      <c r="S151" s="9" t="s">
        <v>110</v>
      </c>
    </row>
    <row r="152" spans="1:19" x14ac:dyDescent="0.25">
      <c r="A152" s="9" t="s">
        <v>645</v>
      </c>
      <c r="B152" s="9" t="s">
        <v>107</v>
      </c>
      <c r="C152" s="9" t="s">
        <v>12</v>
      </c>
      <c r="D152" s="9" t="s">
        <v>24</v>
      </c>
      <c r="E152" s="9" t="str">
        <f>IF(G152&lt;Oversigt!$I$8,Oversigt!$H$8,IF(G152&lt;Oversigt!$I$9,Oversigt!$H$9,IF(G152&lt;Oversigt!$I$10,Oversigt!$H$10,IF(G152&lt;Oversigt!$I$11,Oversigt!$H$11,IF(G152&lt;Oversigt!$I$12,Oversigt!$H$12,Oversigt!$H$13)))))</f>
        <v>Legendary</v>
      </c>
      <c r="F152" s="9" t="s">
        <v>646</v>
      </c>
      <c r="G152" s="10">
        <v>600</v>
      </c>
      <c r="H152" s="9"/>
      <c r="I152" s="10"/>
      <c r="J152" s="9"/>
      <c r="K152" s="9"/>
      <c r="L152" s="9"/>
      <c r="M152" s="9"/>
      <c r="N152" s="9"/>
      <c r="O152" s="9"/>
      <c r="P152" s="9"/>
      <c r="Q152" s="9"/>
      <c r="R152" s="9" t="s">
        <v>439</v>
      </c>
      <c r="S152" s="9" t="s">
        <v>647</v>
      </c>
    </row>
    <row r="153" spans="1:19" x14ac:dyDescent="0.25">
      <c r="A153" s="9" t="s">
        <v>685</v>
      </c>
      <c r="B153" s="9" t="s">
        <v>107</v>
      </c>
      <c r="C153" s="9" t="s">
        <v>12</v>
      </c>
      <c r="D153" s="9" t="s">
        <v>24</v>
      </c>
      <c r="E153" s="9" t="str">
        <f>IF(G153&lt;Oversigt!$I$8,Oversigt!$H$8,IF(G153&lt;Oversigt!$I$9,Oversigt!$H$9,IF(G153&lt;Oversigt!$I$10,Oversigt!$H$10,IF(G153&lt;Oversigt!$I$11,Oversigt!$H$11,IF(G153&lt;Oversigt!$I$12,Oversigt!$H$12,Oversigt!$H$13)))))</f>
        <v>Legendary</v>
      </c>
      <c r="F153" s="9" t="s">
        <v>686</v>
      </c>
      <c r="G153" s="10">
        <v>1200</v>
      </c>
      <c r="H153" s="9"/>
      <c r="I153" s="10"/>
      <c r="J153" s="9"/>
      <c r="K153" s="9"/>
      <c r="L153" s="9"/>
      <c r="M153" s="9"/>
      <c r="N153" s="9"/>
      <c r="O153" s="9"/>
      <c r="P153" s="9"/>
      <c r="Q153" s="9"/>
      <c r="R153" s="9" t="s">
        <v>403</v>
      </c>
      <c r="S153" s="9" t="s">
        <v>687</v>
      </c>
    </row>
    <row r="154" spans="1:19" x14ac:dyDescent="0.25">
      <c r="A154" s="9" t="s">
        <v>437</v>
      </c>
      <c r="B154" s="9" t="s">
        <v>107</v>
      </c>
      <c r="C154" s="9" t="s">
        <v>12</v>
      </c>
      <c r="D154" s="9" t="s">
        <v>24</v>
      </c>
      <c r="E154" s="9" t="str">
        <f>IF(G154&lt;Oversigt!$I$8,Oversigt!$H$8,IF(G154&lt;Oversigt!$I$9,Oversigt!$H$9,IF(G154&lt;Oversigt!$I$10,Oversigt!$H$10,IF(G154&lt;Oversigt!$I$11,Oversigt!$H$11,IF(G154&lt;Oversigt!$I$12,Oversigt!$H$12,Oversigt!$H$13)))))</f>
        <v>Legendary</v>
      </c>
      <c r="F154" s="9" t="s">
        <v>438</v>
      </c>
      <c r="G154" s="10">
        <v>1500</v>
      </c>
      <c r="H154" s="9"/>
      <c r="I154" s="10"/>
      <c r="J154" s="9"/>
      <c r="K154" s="9"/>
      <c r="L154" s="9"/>
      <c r="M154" s="9"/>
      <c r="N154" s="9"/>
      <c r="O154" s="9"/>
      <c r="P154" s="9"/>
      <c r="Q154" s="9"/>
      <c r="R154" s="9" t="s">
        <v>439</v>
      </c>
      <c r="S154" s="9" t="s">
        <v>440</v>
      </c>
    </row>
    <row r="155" spans="1:19" x14ac:dyDescent="0.25">
      <c r="A155" s="9" t="s">
        <v>513</v>
      </c>
      <c r="B155" s="9" t="s">
        <v>107</v>
      </c>
      <c r="C155" s="9" t="s">
        <v>12</v>
      </c>
      <c r="D155" s="9" t="s">
        <v>24</v>
      </c>
      <c r="E155" s="9" t="str">
        <f>IF(G155&lt;Oversigt!$I$8,Oversigt!$H$8,IF(G155&lt;Oversigt!$I$9,Oversigt!$H$9,IF(G155&lt;Oversigt!$I$10,Oversigt!$H$10,IF(G155&lt;Oversigt!$I$11,Oversigt!$H$11,IF(G155&lt;Oversigt!$I$12,Oversigt!$H$12,Oversigt!$H$13)))))</f>
        <v>Legendary</v>
      </c>
      <c r="F155" s="9" t="s">
        <v>514</v>
      </c>
      <c r="G155" s="10">
        <v>2000</v>
      </c>
      <c r="H155" s="9"/>
      <c r="I155" s="10"/>
      <c r="J155" s="9"/>
      <c r="K155" s="9"/>
      <c r="L155" s="9"/>
      <c r="M155" s="9"/>
      <c r="N155" s="9"/>
      <c r="O155" s="9"/>
      <c r="P155" s="9"/>
      <c r="Q155" s="9"/>
      <c r="R155" s="9" t="s">
        <v>403</v>
      </c>
      <c r="S155" s="9" t="s">
        <v>515</v>
      </c>
    </row>
    <row r="156" spans="1:19" x14ac:dyDescent="0.25">
      <c r="A156" s="9" t="s">
        <v>575</v>
      </c>
      <c r="B156" s="9" t="s">
        <v>575</v>
      </c>
      <c r="C156" s="9" t="s">
        <v>16</v>
      </c>
      <c r="D156" s="9" t="s">
        <v>23</v>
      </c>
      <c r="E156" s="9" t="str">
        <f>IF(G156&lt;Oversigt!$I$8,Oversigt!$H$8,IF(G156&lt;Oversigt!$I$9,Oversigt!$H$9,IF(G156&lt;Oversigt!$I$10,Oversigt!$H$10,IF(G156&lt;Oversigt!$I$11,Oversigt!$H$11,IF(G156&lt;Oversigt!$I$12,Oversigt!$H$12,Oversigt!$H$13)))))</f>
        <v>Rare</v>
      </c>
      <c r="F156" s="9" t="s">
        <v>97</v>
      </c>
      <c r="G156" s="10">
        <v>10</v>
      </c>
      <c r="H156" s="9" t="s">
        <v>128</v>
      </c>
      <c r="I156" s="10">
        <v>6</v>
      </c>
      <c r="J156" s="9"/>
      <c r="K156" s="9"/>
      <c r="L156" s="9"/>
      <c r="M156" s="9"/>
      <c r="N156" s="9" t="s">
        <v>576</v>
      </c>
      <c r="O156" s="9"/>
      <c r="P156" s="9"/>
      <c r="Q156" s="9" t="s">
        <v>55</v>
      </c>
      <c r="R156" s="9"/>
      <c r="S156" s="9" t="s">
        <v>577</v>
      </c>
    </row>
    <row r="157" spans="1:19" x14ac:dyDescent="0.25">
      <c r="A157" s="9" t="s">
        <v>167</v>
      </c>
      <c r="B157" s="9" t="s">
        <v>168</v>
      </c>
      <c r="C157" s="9" t="s">
        <v>18</v>
      </c>
      <c r="D157" s="9" t="s">
        <v>23</v>
      </c>
      <c r="E157" s="9" t="str">
        <f>IF(G157&lt;Oversigt!$I$8,Oversigt!$H$8,IF(G157&lt;Oversigt!$I$9,Oversigt!$H$9,IF(G157&lt;Oversigt!$I$10,Oversigt!$H$10,IF(G157&lt;Oversigt!$I$11,Oversigt!$H$11,IF(G157&lt;Oversigt!$I$12,Oversigt!$H$12,Oversigt!$H$13)))))</f>
        <v>Common</v>
      </c>
      <c r="F157" s="9" t="s">
        <v>169</v>
      </c>
      <c r="G157" s="10">
        <v>0.1</v>
      </c>
      <c r="H157" s="9" t="s">
        <v>94</v>
      </c>
      <c r="I157" s="10">
        <v>2</v>
      </c>
      <c r="J157" s="9" t="s">
        <v>170</v>
      </c>
      <c r="K157" s="9" t="s">
        <v>171</v>
      </c>
      <c r="L157" s="9" t="s">
        <v>172</v>
      </c>
      <c r="M157" s="9" t="s">
        <v>34</v>
      </c>
      <c r="N157" s="9"/>
      <c r="O157" s="9"/>
      <c r="P157" s="9"/>
      <c r="Q157" s="9" t="s">
        <v>173</v>
      </c>
      <c r="R157" s="9"/>
      <c r="S157" s="9" t="s">
        <v>174</v>
      </c>
    </row>
    <row r="158" spans="1:19" x14ac:dyDescent="0.25">
      <c r="A158" s="9" t="s">
        <v>306</v>
      </c>
      <c r="B158" s="9" t="s">
        <v>168</v>
      </c>
      <c r="C158" s="9" t="s">
        <v>18</v>
      </c>
      <c r="D158" s="9" t="s">
        <v>23</v>
      </c>
      <c r="E158" s="9" t="str">
        <f>IF(G158&lt;Oversigt!$I$8,Oversigt!$H$8,IF(G158&lt;Oversigt!$I$9,Oversigt!$H$9,IF(G158&lt;Oversigt!$I$10,Oversigt!$H$10,IF(G158&lt;Oversigt!$I$11,Oversigt!$H$11,IF(G158&lt;Oversigt!$I$12,Oversigt!$H$12,Oversigt!$H$13)))))</f>
        <v>Common</v>
      </c>
      <c r="F158" s="9" t="s">
        <v>307</v>
      </c>
      <c r="G158" s="10">
        <v>0.2</v>
      </c>
      <c r="H158" s="9" t="s">
        <v>145</v>
      </c>
      <c r="I158" s="10">
        <v>10</v>
      </c>
      <c r="J158" s="9" t="s">
        <v>203</v>
      </c>
      <c r="K158" s="9" t="s">
        <v>171</v>
      </c>
      <c r="L158" s="9" t="s">
        <v>308</v>
      </c>
      <c r="M158" s="9" t="s">
        <v>32</v>
      </c>
      <c r="N158" s="9"/>
      <c r="O158" s="9"/>
      <c r="P158" s="9"/>
      <c r="Q158" s="9" t="s">
        <v>173</v>
      </c>
      <c r="R158" s="9"/>
      <c r="S158" s="9" t="s">
        <v>309</v>
      </c>
    </row>
    <row r="159" spans="1:19" x14ac:dyDescent="0.25">
      <c r="A159" s="9" t="s">
        <v>516</v>
      </c>
      <c r="B159" s="9" t="s">
        <v>168</v>
      </c>
      <c r="C159" s="9" t="s">
        <v>18</v>
      </c>
      <c r="D159" s="9" t="s">
        <v>23</v>
      </c>
      <c r="E159" s="9" t="str">
        <f>IF(G159&lt;Oversigt!$I$8,Oversigt!$H$8,IF(G159&lt;Oversigt!$I$9,Oversigt!$H$9,IF(G159&lt;Oversigt!$I$10,Oversigt!$H$10,IF(G159&lt;Oversigt!$I$11,Oversigt!$H$11,IF(G159&lt;Oversigt!$I$12,Oversigt!$H$12,Oversigt!$H$13)))))</f>
        <v>Common</v>
      </c>
      <c r="F159" s="9" t="s">
        <v>307</v>
      </c>
      <c r="G159" s="10">
        <v>0.2</v>
      </c>
      <c r="H159" s="9" t="s">
        <v>184</v>
      </c>
      <c r="I159" s="10">
        <v>4</v>
      </c>
      <c r="J159" s="9" t="s">
        <v>192</v>
      </c>
      <c r="K159" s="9" t="s">
        <v>171</v>
      </c>
      <c r="L159" s="9" t="s">
        <v>517</v>
      </c>
      <c r="M159" s="9" t="s">
        <v>35</v>
      </c>
      <c r="N159" s="9"/>
      <c r="O159" s="9"/>
      <c r="P159" s="9"/>
      <c r="Q159" s="9" t="s">
        <v>173</v>
      </c>
      <c r="R159" s="9"/>
      <c r="S159" s="9" t="s">
        <v>518</v>
      </c>
    </row>
    <row r="160" spans="1:19" x14ac:dyDescent="0.25">
      <c r="A160" s="9" t="s">
        <v>360</v>
      </c>
      <c r="B160" s="9" t="s">
        <v>168</v>
      </c>
      <c r="C160" s="9" t="s">
        <v>18</v>
      </c>
      <c r="D160" s="9" t="s">
        <v>23</v>
      </c>
      <c r="E160" s="9" t="str">
        <f>IF(G160&lt;Oversigt!$I$8,Oversigt!$H$8,IF(G160&lt;Oversigt!$I$9,Oversigt!$H$9,IF(G160&lt;Oversigt!$I$10,Oversigt!$H$10,IF(G160&lt;Oversigt!$I$11,Oversigt!$H$11,IF(G160&lt;Oversigt!$I$12,Oversigt!$H$12,Oversigt!$H$13)))))</f>
        <v>Common</v>
      </c>
      <c r="F160" s="9" t="s">
        <v>361</v>
      </c>
      <c r="G160" s="10">
        <v>0.5</v>
      </c>
      <c r="H160" s="9" t="s">
        <v>94</v>
      </c>
      <c r="I160" s="10">
        <v>2</v>
      </c>
      <c r="J160" s="9" t="s">
        <v>192</v>
      </c>
      <c r="K160" s="9" t="s">
        <v>193</v>
      </c>
      <c r="L160" s="9" t="s">
        <v>362</v>
      </c>
      <c r="M160" s="9" t="s">
        <v>34</v>
      </c>
      <c r="N160" s="9"/>
      <c r="O160" s="9"/>
      <c r="P160" s="9"/>
      <c r="Q160" s="9" t="s">
        <v>173</v>
      </c>
      <c r="R160" s="9"/>
      <c r="S160" s="9" t="s">
        <v>363</v>
      </c>
    </row>
    <row r="161" spans="1:19" x14ac:dyDescent="0.25">
      <c r="A161" s="9" t="s">
        <v>590</v>
      </c>
      <c r="B161" s="9" t="s">
        <v>168</v>
      </c>
      <c r="C161" s="9" t="s">
        <v>18</v>
      </c>
      <c r="D161" s="9" t="s">
        <v>23</v>
      </c>
      <c r="E161" s="9" t="str">
        <f>IF(G161&lt;Oversigt!$I$8,Oversigt!$H$8,IF(G161&lt;Oversigt!$I$9,Oversigt!$H$9,IF(G161&lt;Oversigt!$I$10,Oversigt!$H$10,IF(G161&lt;Oversigt!$I$11,Oversigt!$H$11,IF(G161&lt;Oversigt!$I$12,Oversigt!$H$12,Oversigt!$H$13)))))</f>
        <v>Common</v>
      </c>
      <c r="F161" s="9" t="s">
        <v>114</v>
      </c>
      <c r="G161" s="10">
        <v>1</v>
      </c>
      <c r="H161" s="9" t="s">
        <v>94</v>
      </c>
      <c r="I161" s="10">
        <v>2</v>
      </c>
      <c r="J161" s="9" t="s">
        <v>170</v>
      </c>
      <c r="K161" s="9" t="s">
        <v>290</v>
      </c>
      <c r="L161" s="9" t="s">
        <v>591</v>
      </c>
      <c r="M161" s="9" t="s">
        <v>31</v>
      </c>
      <c r="N161" s="9"/>
      <c r="O161" s="9"/>
      <c r="P161" s="9"/>
      <c r="Q161" s="9" t="s">
        <v>173</v>
      </c>
      <c r="R161" s="9"/>
      <c r="S161" s="9" t="s">
        <v>592</v>
      </c>
    </row>
    <row r="162" spans="1:19" x14ac:dyDescent="0.25">
      <c r="A162" s="9" t="s">
        <v>609</v>
      </c>
      <c r="B162" s="9" t="s">
        <v>168</v>
      </c>
      <c r="C162" s="9" t="s">
        <v>18</v>
      </c>
      <c r="D162" s="9" t="s">
        <v>23</v>
      </c>
      <c r="E162" s="9" t="str">
        <f>IF(G162&lt;Oversigt!$I$8,Oversigt!$H$8,IF(G162&lt;Oversigt!$I$9,Oversigt!$H$9,IF(G162&lt;Oversigt!$I$10,Oversigt!$H$10,IF(G162&lt;Oversigt!$I$11,Oversigt!$H$11,IF(G162&lt;Oversigt!$I$12,Oversigt!$H$12,Oversigt!$H$13)))))</f>
        <v>Common</v>
      </c>
      <c r="F162" s="9" t="s">
        <v>114</v>
      </c>
      <c r="G162" s="10">
        <v>1</v>
      </c>
      <c r="H162" s="9" t="s">
        <v>191</v>
      </c>
      <c r="I162" s="10">
        <v>3</v>
      </c>
      <c r="J162" s="9" t="s">
        <v>192</v>
      </c>
      <c r="K162" s="9" t="s">
        <v>193</v>
      </c>
      <c r="L162" s="9" t="s">
        <v>610</v>
      </c>
      <c r="M162" s="9" t="s">
        <v>33</v>
      </c>
      <c r="N162" s="9"/>
      <c r="O162" s="9"/>
      <c r="P162" s="9"/>
      <c r="Q162" s="9" t="s">
        <v>173</v>
      </c>
      <c r="R162" s="9"/>
      <c r="S162" s="9" t="s">
        <v>611</v>
      </c>
    </row>
    <row r="163" spans="1:19" x14ac:dyDescent="0.25">
      <c r="A163" s="9" t="s">
        <v>212</v>
      </c>
      <c r="B163" s="9" t="s">
        <v>168</v>
      </c>
      <c r="C163" s="9" t="s">
        <v>18</v>
      </c>
      <c r="D163" s="9" t="s">
        <v>23</v>
      </c>
      <c r="E163" s="9" t="str">
        <f>IF(G163&lt;Oversigt!$I$8,Oversigt!$H$8,IF(G163&lt;Oversigt!$I$9,Oversigt!$H$9,IF(G163&lt;Oversigt!$I$10,Oversigt!$H$10,IF(G163&lt;Oversigt!$I$11,Oversigt!$H$11,IF(G163&lt;Oversigt!$I$12,Oversigt!$H$12,Oversigt!$H$13)))))</f>
        <v>Uncommon</v>
      </c>
      <c r="F163" s="9" t="s">
        <v>207</v>
      </c>
      <c r="G163" s="10">
        <v>2</v>
      </c>
      <c r="H163" s="9" t="s">
        <v>74</v>
      </c>
      <c r="I163" s="10">
        <v>1</v>
      </c>
      <c r="J163" s="9" t="s">
        <v>170</v>
      </c>
      <c r="K163" s="9" t="s">
        <v>193</v>
      </c>
      <c r="L163" s="9" t="s">
        <v>213</v>
      </c>
      <c r="M163" s="9" t="s">
        <v>31</v>
      </c>
      <c r="N163" s="9"/>
      <c r="O163" s="9"/>
      <c r="P163" s="9"/>
      <c r="Q163" s="9" t="s">
        <v>173</v>
      </c>
      <c r="R163" s="9"/>
      <c r="S163" s="9" t="s">
        <v>214</v>
      </c>
    </row>
    <row r="164" spans="1:19" x14ac:dyDescent="0.25">
      <c r="A164" s="9" t="s">
        <v>396</v>
      </c>
      <c r="B164" s="9" t="s">
        <v>168</v>
      </c>
      <c r="C164" s="9" t="s">
        <v>18</v>
      </c>
      <c r="D164" s="9" t="s">
        <v>23</v>
      </c>
      <c r="E164" s="9" t="str">
        <f>IF(G164&lt;Oversigt!$I$8,Oversigt!$H$8,IF(G164&lt;Oversigt!$I$9,Oversigt!$H$9,IF(G164&lt;Oversigt!$I$10,Oversigt!$H$10,IF(G164&lt;Oversigt!$I$11,Oversigt!$H$11,IF(G164&lt;Oversigt!$I$12,Oversigt!$H$12,Oversigt!$H$13)))))</f>
        <v>Uncommon</v>
      </c>
      <c r="F164" s="9" t="s">
        <v>207</v>
      </c>
      <c r="G164" s="10">
        <v>2</v>
      </c>
      <c r="H164" s="9" t="s">
        <v>94</v>
      </c>
      <c r="I164" s="10">
        <v>2</v>
      </c>
      <c r="J164" s="9" t="s">
        <v>170</v>
      </c>
      <c r="K164" s="9" t="s">
        <v>171</v>
      </c>
      <c r="L164" s="9" t="s">
        <v>397</v>
      </c>
      <c r="M164" s="9" t="s">
        <v>31</v>
      </c>
      <c r="N164" s="9"/>
      <c r="O164" s="9"/>
      <c r="P164" s="9"/>
      <c r="Q164" s="9" t="s">
        <v>173</v>
      </c>
      <c r="R164" s="9"/>
      <c r="S164" s="9" t="s">
        <v>398</v>
      </c>
    </row>
    <row r="165" spans="1:19" x14ac:dyDescent="0.25">
      <c r="A165" s="9" t="s">
        <v>328</v>
      </c>
      <c r="B165" s="9" t="s">
        <v>168</v>
      </c>
      <c r="C165" s="9" t="s">
        <v>18</v>
      </c>
      <c r="D165" s="9" t="s">
        <v>23</v>
      </c>
      <c r="E165" s="9" t="str">
        <f>IF(G165&lt;Oversigt!$I$8,Oversigt!$H$8,IF(G165&lt;Oversigt!$I$9,Oversigt!$H$9,IF(G165&lt;Oversigt!$I$10,Oversigt!$H$10,IF(G165&lt;Oversigt!$I$11,Oversigt!$H$11,IF(G165&lt;Oversigt!$I$12,Oversigt!$H$12,Oversigt!$H$13)))))</f>
        <v>Uncommon</v>
      </c>
      <c r="F165" s="9" t="s">
        <v>144</v>
      </c>
      <c r="G165" s="10">
        <v>5</v>
      </c>
      <c r="H165" s="9" t="s">
        <v>94</v>
      </c>
      <c r="I165" s="10">
        <v>2</v>
      </c>
      <c r="J165" s="9" t="s">
        <v>192</v>
      </c>
      <c r="K165" s="9" t="s">
        <v>290</v>
      </c>
      <c r="L165" s="9" t="s">
        <v>329</v>
      </c>
      <c r="M165" s="9" t="s">
        <v>36</v>
      </c>
      <c r="N165" s="9"/>
      <c r="O165" s="9"/>
      <c r="P165" s="9"/>
      <c r="Q165" s="9" t="s">
        <v>173</v>
      </c>
      <c r="R165" s="9"/>
      <c r="S165" s="9" t="s">
        <v>330</v>
      </c>
    </row>
    <row r="166" spans="1:19" x14ac:dyDescent="0.25">
      <c r="A166" s="9" t="s">
        <v>416</v>
      </c>
      <c r="B166" s="9" t="s">
        <v>168</v>
      </c>
      <c r="C166" s="9" t="s">
        <v>18</v>
      </c>
      <c r="D166" s="9" t="s">
        <v>23</v>
      </c>
      <c r="E166" s="9" t="str">
        <f>IF(G166&lt;Oversigt!$I$8,Oversigt!$H$8,IF(G166&lt;Oversigt!$I$9,Oversigt!$H$9,IF(G166&lt;Oversigt!$I$10,Oversigt!$H$10,IF(G166&lt;Oversigt!$I$11,Oversigt!$H$11,IF(G166&lt;Oversigt!$I$12,Oversigt!$H$12,Oversigt!$H$13)))))</f>
        <v>Uncommon</v>
      </c>
      <c r="F166" s="9" t="s">
        <v>144</v>
      </c>
      <c r="G166" s="10">
        <v>5</v>
      </c>
      <c r="H166" s="9" t="s">
        <v>184</v>
      </c>
      <c r="I166" s="10">
        <v>4</v>
      </c>
      <c r="J166" s="9" t="s">
        <v>192</v>
      </c>
      <c r="K166" s="9" t="s">
        <v>171</v>
      </c>
      <c r="L166" s="9" t="s">
        <v>33</v>
      </c>
      <c r="M166" s="9" t="s">
        <v>33</v>
      </c>
      <c r="N166" s="9"/>
      <c r="O166" s="9"/>
      <c r="P166" s="9"/>
      <c r="Q166" s="9" t="s">
        <v>173</v>
      </c>
      <c r="R166" s="9"/>
      <c r="S166" s="9" t="s">
        <v>417</v>
      </c>
    </row>
    <row r="167" spans="1:19" x14ac:dyDescent="0.25">
      <c r="A167" s="9" t="s">
        <v>215</v>
      </c>
      <c r="B167" s="9" t="s">
        <v>202</v>
      </c>
      <c r="C167" s="9" t="s">
        <v>18</v>
      </c>
      <c r="D167" s="9" t="s">
        <v>23</v>
      </c>
      <c r="E167" s="9" t="str">
        <f>IF(G167&lt;Oversigt!$I$8,Oversigt!$H$8,IF(G167&lt;Oversigt!$I$9,Oversigt!$H$9,IF(G167&lt;Oversigt!$I$10,Oversigt!$H$10,IF(G167&lt;Oversigt!$I$11,Oversigt!$H$11,IF(G167&lt;Oversigt!$I$12,Oversigt!$H$12,Oversigt!$H$13)))))</f>
        <v>Common</v>
      </c>
      <c r="F167" s="9" t="s">
        <v>93</v>
      </c>
      <c r="G167" s="10">
        <v>0.05</v>
      </c>
      <c r="H167" s="9" t="s">
        <v>216</v>
      </c>
      <c r="I167" s="10">
        <v>0.25</v>
      </c>
      <c r="J167" s="9" t="s">
        <v>170</v>
      </c>
      <c r="K167" s="9" t="s">
        <v>193</v>
      </c>
      <c r="L167" s="9" t="s">
        <v>217</v>
      </c>
      <c r="M167" s="9" t="s">
        <v>36</v>
      </c>
      <c r="N167" s="9"/>
      <c r="O167" s="9"/>
      <c r="P167" s="9"/>
      <c r="Q167" s="9" t="s">
        <v>173</v>
      </c>
      <c r="R167" s="9"/>
      <c r="S167" s="9" t="s">
        <v>218</v>
      </c>
    </row>
    <row r="168" spans="1:19" x14ac:dyDescent="0.25">
      <c r="A168" s="9" t="s">
        <v>598</v>
      </c>
      <c r="B168" s="9" t="s">
        <v>202</v>
      </c>
      <c r="C168" s="9" t="s">
        <v>18</v>
      </c>
      <c r="D168" s="9" t="s">
        <v>23</v>
      </c>
      <c r="E168" s="9" t="str">
        <f>IF(G168&lt;Oversigt!$I$8,Oversigt!$H$8,IF(G168&lt;Oversigt!$I$9,Oversigt!$H$9,IF(G168&lt;Oversigt!$I$10,Oversigt!$H$10,IF(G168&lt;Oversigt!$I$11,Oversigt!$H$11,IF(G168&lt;Oversigt!$I$12,Oversigt!$H$12,Oversigt!$H$13)))))</f>
        <v>Common</v>
      </c>
      <c r="F168" s="9" t="s">
        <v>169</v>
      </c>
      <c r="G168" s="10">
        <v>0.1</v>
      </c>
      <c r="H168" s="9"/>
      <c r="I168" s="10"/>
      <c r="J168" s="9" t="s">
        <v>170</v>
      </c>
      <c r="K168" s="9" t="s">
        <v>171</v>
      </c>
      <c r="L168" s="9" t="s">
        <v>599</v>
      </c>
      <c r="M168" s="9" t="s">
        <v>34</v>
      </c>
      <c r="N168" s="9"/>
      <c r="O168" s="9"/>
      <c r="P168" s="9"/>
      <c r="Q168" s="9" t="s">
        <v>173</v>
      </c>
      <c r="R168" s="9"/>
      <c r="S168" s="9" t="s">
        <v>600</v>
      </c>
    </row>
    <row r="169" spans="1:19" x14ac:dyDescent="0.25">
      <c r="A169" s="9" t="s">
        <v>201</v>
      </c>
      <c r="B169" s="9" t="s">
        <v>202</v>
      </c>
      <c r="C169" s="9" t="s">
        <v>18</v>
      </c>
      <c r="D169" s="9" t="s">
        <v>23</v>
      </c>
      <c r="E169" s="9" t="str">
        <f>IF(G169&lt;Oversigt!$I$8,Oversigt!$H$8,IF(G169&lt;Oversigt!$I$9,Oversigt!$H$9,IF(G169&lt;Oversigt!$I$10,Oversigt!$H$10,IF(G169&lt;Oversigt!$I$11,Oversigt!$H$11,IF(G169&lt;Oversigt!$I$12,Oversigt!$H$12,Oversigt!$H$13)))))</f>
        <v>Rare</v>
      </c>
      <c r="F169" s="9" t="s">
        <v>77</v>
      </c>
      <c r="G169" s="10">
        <v>25</v>
      </c>
      <c r="H169" s="9" t="s">
        <v>78</v>
      </c>
      <c r="I169" s="10">
        <v>5</v>
      </c>
      <c r="J169" s="9" t="s">
        <v>203</v>
      </c>
      <c r="K169" s="9" t="s">
        <v>193</v>
      </c>
      <c r="L169" s="9" t="s">
        <v>204</v>
      </c>
      <c r="M169" s="9" t="s">
        <v>34</v>
      </c>
      <c r="N169" s="9"/>
      <c r="O169" s="9"/>
      <c r="P169" s="9"/>
      <c r="Q169" s="9" t="s">
        <v>173</v>
      </c>
      <c r="R169" s="9"/>
      <c r="S169" s="9" t="s">
        <v>205</v>
      </c>
    </row>
    <row r="170" spans="1:19" x14ac:dyDescent="0.25">
      <c r="A170" s="9" t="s">
        <v>578</v>
      </c>
      <c r="B170" s="9" t="s">
        <v>202</v>
      </c>
      <c r="C170" s="9" t="s">
        <v>18</v>
      </c>
      <c r="D170" s="9" t="s">
        <v>23</v>
      </c>
      <c r="E170" s="9" t="str">
        <f>IF(G170&lt;Oversigt!$I$8,Oversigt!$H$8,IF(G170&lt;Oversigt!$I$9,Oversigt!$H$9,IF(G170&lt;Oversigt!$I$10,Oversigt!$H$10,IF(G170&lt;Oversigt!$I$11,Oversigt!$H$11,IF(G170&lt;Oversigt!$I$12,Oversigt!$H$12,Oversigt!$H$13)))))</f>
        <v>Rare</v>
      </c>
      <c r="F170" s="9" t="s">
        <v>77</v>
      </c>
      <c r="G170" s="10">
        <v>25</v>
      </c>
      <c r="H170" s="9" t="s">
        <v>94</v>
      </c>
      <c r="I170" s="10">
        <v>2</v>
      </c>
      <c r="J170" s="9" t="s">
        <v>192</v>
      </c>
      <c r="K170" s="9" t="s">
        <v>193</v>
      </c>
      <c r="L170" s="9" t="s">
        <v>579</v>
      </c>
      <c r="M170" s="9" t="s">
        <v>36</v>
      </c>
      <c r="N170" s="9"/>
      <c r="O170" s="9"/>
      <c r="P170" s="9"/>
      <c r="Q170" s="9" t="s">
        <v>173</v>
      </c>
      <c r="R170" s="9"/>
      <c r="S170" s="9" t="s">
        <v>580</v>
      </c>
    </row>
    <row r="171" spans="1:19" x14ac:dyDescent="0.25">
      <c r="A171" s="9" t="s">
        <v>219</v>
      </c>
      <c r="B171" s="9" t="s">
        <v>88</v>
      </c>
      <c r="C171" s="9" t="s">
        <v>19</v>
      </c>
      <c r="D171" s="9" t="s">
        <v>25</v>
      </c>
      <c r="E171" s="9" t="str">
        <f>IF(G171&lt;Oversigt!$I$8,Oversigt!$H$8,IF(G171&lt;Oversigt!$I$9,Oversigt!$H$9,IF(G171&lt;Oversigt!$I$10,Oversigt!$H$10,IF(G171&lt;Oversigt!$I$11,Oversigt!$H$11,IF(G171&lt;Oversigt!$I$12,Oversigt!$H$12,Oversigt!$H$13)))))</f>
        <v>Common</v>
      </c>
      <c r="F171" s="9" t="s">
        <v>169</v>
      </c>
      <c r="G171" s="10">
        <v>0.1</v>
      </c>
      <c r="H171" s="9"/>
      <c r="I171" s="10"/>
      <c r="J171" s="9"/>
      <c r="K171" s="9"/>
      <c r="L171" s="9"/>
      <c r="M171" s="9"/>
      <c r="N171" s="9"/>
      <c r="O171" s="9"/>
      <c r="P171" s="9"/>
      <c r="Q171" s="9" t="s">
        <v>53</v>
      </c>
      <c r="R171" s="9"/>
      <c r="S171" s="9" t="s">
        <v>220</v>
      </c>
    </row>
    <row r="172" spans="1:19" x14ac:dyDescent="0.25">
      <c r="A172" s="9" t="s">
        <v>494</v>
      </c>
      <c r="B172" s="9" t="s">
        <v>88</v>
      </c>
      <c r="C172" s="9" t="s">
        <v>19</v>
      </c>
      <c r="D172" s="9" t="s">
        <v>25</v>
      </c>
      <c r="E172" s="9" t="str">
        <f>IF(G172&lt;Oversigt!$I$8,Oversigt!$H$8,IF(G172&lt;Oversigt!$I$9,Oversigt!$H$9,IF(G172&lt;Oversigt!$I$10,Oversigt!$H$10,IF(G172&lt;Oversigt!$I$11,Oversigt!$H$11,IF(G172&lt;Oversigt!$I$12,Oversigt!$H$12,Oversigt!$H$13)))))</f>
        <v>Common</v>
      </c>
      <c r="F172" s="9" t="s">
        <v>361</v>
      </c>
      <c r="G172" s="10">
        <v>0.5</v>
      </c>
      <c r="H172" s="9"/>
      <c r="I172" s="10"/>
      <c r="J172" s="9"/>
      <c r="K172" s="9"/>
      <c r="L172" s="9"/>
      <c r="M172" s="9"/>
      <c r="N172" s="9"/>
      <c r="O172" s="9"/>
      <c r="P172" s="9"/>
      <c r="Q172" s="9" t="s">
        <v>53</v>
      </c>
      <c r="R172" s="9"/>
      <c r="S172" s="9" t="s">
        <v>220</v>
      </c>
    </row>
    <row r="173" spans="1:19" x14ac:dyDescent="0.25">
      <c r="A173" s="9" t="s">
        <v>180</v>
      </c>
      <c r="B173" s="9" t="s">
        <v>88</v>
      </c>
      <c r="C173" s="9" t="s">
        <v>19</v>
      </c>
      <c r="D173" s="9" t="s">
        <v>25</v>
      </c>
      <c r="E173" s="9" t="str">
        <f>IF(G173&lt;Oversigt!$I$8,Oversigt!$H$8,IF(G173&lt;Oversigt!$I$9,Oversigt!$H$9,IF(G173&lt;Oversigt!$I$10,Oversigt!$H$10,IF(G173&lt;Oversigt!$I$11,Oversigt!$H$11,IF(G173&lt;Oversigt!$I$12,Oversigt!$H$12,Oversigt!$H$13)))))</f>
        <v>Common</v>
      </c>
      <c r="F173" s="9" t="s">
        <v>114</v>
      </c>
      <c r="G173" s="10">
        <v>1</v>
      </c>
      <c r="H173" s="9" t="s">
        <v>181</v>
      </c>
      <c r="I173" s="10">
        <v>8</v>
      </c>
      <c r="J173" s="9"/>
      <c r="K173" s="9"/>
      <c r="L173" s="9"/>
      <c r="M173" s="9"/>
      <c r="N173" s="9"/>
      <c r="O173" s="9"/>
      <c r="P173" s="9"/>
      <c r="Q173" s="9" t="s">
        <v>54</v>
      </c>
      <c r="R173" s="9"/>
      <c r="S173" s="9" t="s">
        <v>182</v>
      </c>
    </row>
    <row r="174" spans="1:19" x14ac:dyDescent="0.25">
      <c r="A174" s="9" t="s">
        <v>231</v>
      </c>
      <c r="B174" s="9" t="s">
        <v>88</v>
      </c>
      <c r="C174" s="9" t="s">
        <v>19</v>
      </c>
      <c r="D174" s="9" t="s">
        <v>25</v>
      </c>
      <c r="E174" s="9" t="str">
        <f>IF(G174&lt;Oversigt!$I$8,Oversigt!$H$8,IF(G174&lt;Oversigt!$I$9,Oversigt!$H$9,IF(G174&lt;Oversigt!$I$10,Oversigt!$H$10,IF(G174&lt;Oversigt!$I$11,Oversigt!$H$11,IF(G174&lt;Oversigt!$I$12,Oversigt!$H$12,Oversigt!$H$13)))))</f>
        <v>Common</v>
      </c>
      <c r="F174" s="9" t="s">
        <v>114</v>
      </c>
      <c r="G174" s="10">
        <v>1</v>
      </c>
      <c r="H174" s="9"/>
      <c r="I174" s="10"/>
      <c r="J174" s="9"/>
      <c r="K174" s="9"/>
      <c r="L174" s="9"/>
      <c r="M174" s="9"/>
      <c r="N174" s="9"/>
      <c r="O174" s="9"/>
      <c r="P174" s="9"/>
      <c r="Q174" s="9" t="s">
        <v>53</v>
      </c>
      <c r="R174" s="9"/>
      <c r="S174" s="9" t="s">
        <v>220</v>
      </c>
    </row>
    <row r="175" spans="1:19" x14ac:dyDescent="0.25">
      <c r="A175" s="9" t="s">
        <v>637</v>
      </c>
      <c r="B175" s="9" t="s">
        <v>88</v>
      </c>
      <c r="C175" s="9" t="s">
        <v>19</v>
      </c>
      <c r="D175" s="9" t="s">
        <v>25</v>
      </c>
      <c r="E175" s="9" t="str">
        <f>IF(G175&lt;Oversigt!$I$8,Oversigt!$H$8,IF(G175&lt;Oversigt!$I$9,Oversigt!$H$9,IF(G175&lt;Oversigt!$I$10,Oversigt!$H$10,IF(G175&lt;Oversigt!$I$11,Oversigt!$H$11,IF(G175&lt;Oversigt!$I$12,Oversigt!$H$12,Oversigt!$H$13)))))</f>
        <v>Common</v>
      </c>
      <c r="F175" s="9" t="s">
        <v>114</v>
      </c>
      <c r="G175" s="10">
        <v>1</v>
      </c>
      <c r="H175" s="9"/>
      <c r="I175" s="10"/>
      <c r="J175" s="9"/>
      <c r="K175" s="9"/>
      <c r="L175" s="9"/>
      <c r="M175" s="9"/>
      <c r="N175" s="9"/>
      <c r="O175" s="9"/>
      <c r="P175" s="9"/>
      <c r="Q175" s="9" t="s">
        <v>53</v>
      </c>
      <c r="R175" s="9"/>
      <c r="S175" s="9" t="s">
        <v>220</v>
      </c>
    </row>
    <row r="176" spans="1:19" x14ac:dyDescent="0.25">
      <c r="A176" s="9" t="s">
        <v>676</v>
      </c>
      <c r="B176" s="9" t="s">
        <v>88</v>
      </c>
      <c r="C176" s="9" t="s">
        <v>19</v>
      </c>
      <c r="D176" s="9" t="s">
        <v>25</v>
      </c>
      <c r="E176" s="9" t="str">
        <f>IF(G176&lt;Oversigt!$I$8,Oversigt!$H$8,IF(G176&lt;Oversigt!$I$9,Oversigt!$H$9,IF(G176&lt;Oversigt!$I$10,Oversigt!$H$10,IF(G176&lt;Oversigt!$I$11,Oversigt!$H$11,IF(G176&lt;Oversigt!$I$12,Oversigt!$H$12,Oversigt!$H$13)))))</f>
        <v>Common</v>
      </c>
      <c r="F176" s="9" t="s">
        <v>114</v>
      </c>
      <c r="G176" s="10">
        <v>1</v>
      </c>
      <c r="H176" s="9" t="s">
        <v>78</v>
      </c>
      <c r="I176" s="10">
        <v>5</v>
      </c>
      <c r="J176" s="9"/>
      <c r="K176" s="9"/>
      <c r="L176" s="9"/>
      <c r="M176" s="9"/>
      <c r="N176" s="9"/>
      <c r="O176" s="9"/>
      <c r="P176" s="9"/>
      <c r="Q176" s="9" t="s">
        <v>54</v>
      </c>
      <c r="R176" s="9"/>
      <c r="S176" s="9" t="s">
        <v>677</v>
      </c>
    </row>
    <row r="177" spans="1:19" x14ac:dyDescent="0.25">
      <c r="A177" s="9" t="s">
        <v>681</v>
      </c>
      <c r="B177" s="9" t="s">
        <v>88</v>
      </c>
      <c r="C177" s="9" t="s">
        <v>19</v>
      </c>
      <c r="D177" s="9" t="s">
        <v>25</v>
      </c>
      <c r="E177" s="9" t="str">
        <f>IF(G177&lt;Oversigt!$I$8,Oversigt!$H$8,IF(G177&lt;Oversigt!$I$9,Oversigt!$H$9,IF(G177&lt;Oversigt!$I$10,Oversigt!$H$10,IF(G177&lt;Oversigt!$I$11,Oversigt!$H$11,IF(G177&lt;Oversigt!$I$12,Oversigt!$H$12,Oversigt!$H$13)))))</f>
        <v>Common</v>
      </c>
      <c r="F177" s="9" t="s">
        <v>114</v>
      </c>
      <c r="G177" s="10">
        <v>1</v>
      </c>
      <c r="H177" s="9" t="s">
        <v>78</v>
      </c>
      <c r="I177" s="10">
        <v>5</v>
      </c>
      <c r="J177" s="9"/>
      <c r="K177" s="9"/>
      <c r="L177" s="9"/>
      <c r="M177" s="9"/>
      <c r="N177" s="9"/>
      <c r="O177" s="9"/>
      <c r="P177" s="9"/>
      <c r="Q177" s="9" t="s">
        <v>54</v>
      </c>
      <c r="R177" s="9"/>
      <c r="S177" s="9" t="s">
        <v>682</v>
      </c>
    </row>
    <row r="178" spans="1:19" x14ac:dyDescent="0.25">
      <c r="A178" s="9" t="s">
        <v>280</v>
      </c>
      <c r="B178" s="9" t="s">
        <v>88</v>
      </c>
      <c r="C178" s="9" t="s">
        <v>19</v>
      </c>
      <c r="D178" s="9" t="s">
        <v>25</v>
      </c>
      <c r="E178" s="9" t="str">
        <f>IF(G178&lt;Oversigt!$I$8,Oversigt!$H$8,IF(G178&lt;Oversigt!$I$9,Oversigt!$H$9,IF(G178&lt;Oversigt!$I$10,Oversigt!$H$10,IF(G178&lt;Oversigt!$I$11,Oversigt!$H$11,IF(G178&lt;Oversigt!$I$12,Oversigt!$H$12,Oversigt!$H$13)))))</f>
        <v>Uncommon</v>
      </c>
      <c r="F178" s="9" t="s">
        <v>207</v>
      </c>
      <c r="G178" s="10">
        <v>2</v>
      </c>
      <c r="H178" s="9" t="s">
        <v>74</v>
      </c>
      <c r="I178" s="10">
        <v>1</v>
      </c>
      <c r="J178" s="9"/>
      <c r="K178" s="9"/>
      <c r="L178" s="9"/>
      <c r="M178" s="9"/>
      <c r="N178" s="9"/>
      <c r="O178" s="9"/>
      <c r="P178" s="9"/>
      <c r="Q178" s="9" t="s">
        <v>50</v>
      </c>
      <c r="R178" s="9"/>
      <c r="S178" s="9" t="s">
        <v>236</v>
      </c>
    </row>
    <row r="179" spans="1:19" x14ac:dyDescent="0.25">
      <c r="A179" s="9" t="s">
        <v>574</v>
      </c>
      <c r="B179" s="9" t="s">
        <v>88</v>
      </c>
      <c r="C179" s="9" t="s">
        <v>19</v>
      </c>
      <c r="D179" s="9" t="s">
        <v>25</v>
      </c>
      <c r="E179" s="9" t="str">
        <f>IF(G179&lt;Oversigt!$I$8,Oversigt!$H$8,IF(G179&lt;Oversigt!$I$9,Oversigt!$H$9,IF(G179&lt;Oversigt!$I$10,Oversigt!$H$10,IF(G179&lt;Oversigt!$I$11,Oversigt!$H$11,IF(G179&lt;Oversigt!$I$12,Oversigt!$H$12,Oversigt!$H$13)))))</f>
        <v>Uncommon</v>
      </c>
      <c r="F179" s="9" t="s">
        <v>207</v>
      </c>
      <c r="G179" s="10">
        <v>2</v>
      </c>
      <c r="H179" s="9" t="s">
        <v>74</v>
      </c>
      <c r="I179" s="10">
        <v>1</v>
      </c>
      <c r="J179" s="9"/>
      <c r="K179" s="9"/>
      <c r="L179" s="9"/>
      <c r="M179" s="9"/>
      <c r="N179" s="9"/>
      <c r="O179" s="9"/>
      <c r="P179" s="9"/>
      <c r="Q179" s="9" t="s">
        <v>50</v>
      </c>
      <c r="R179" s="9"/>
      <c r="S179" s="9" t="s">
        <v>236</v>
      </c>
    </row>
    <row r="180" spans="1:19" x14ac:dyDescent="0.25">
      <c r="A180" s="9" t="s">
        <v>346</v>
      </c>
      <c r="B180" s="9" t="s">
        <v>88</v>
      </c>
      <c r="C180" s="9" t="s">
        <v>19</v>
      </c>
      <c r="D180" s="9" t="s">
        <v>25</v>
      </c>
      <c r="E180" s="9" t="str">
        <f>IF(G180&lt;Oversigt!$I$8,Oversigt!$H$8,IF(G180&lt;Oversigt!$I$9,Oversigt!$H$9,IF(G180&lt;Oversigt!$I$10,Oversigt!$H$10,IF(G180&lt;Oversigt!$I$11,Oversigt!$H$11,IF(G180&lt;Oversigt!$I$12,Oversigt!$H$12,Oversigt!$H$13)))))</f>
        <v>Uncommon</v>
      </c>
      <c r="F180" s="9" t="s">
        <v>272</v>
      </c>
      <c r="G180" s="10">
        <v>3</v>
      </c>
      <c r="H180" s="9" t="s">
        <v>94</v>
      </c>
      <c r="I180" s="10">
        <v>2</v>
      </c>
      <c r="J180" s="9"/>
      <c r="K180" s="9"/>
      <c r="L180" s="9"/>
      <c r="M180" s="9"/>
      <c r="N180" s="9"/>
      <c r="O180" s="9"/>
      <c r="P180" s="9"/>
      <c r="Q180" s="9" t="s">
        <v>50</v>
      </c>
      <c r="R180" s="9"/>
      <c r="S180" s="9" t="s">
        <v>236</v>
      </c>
    </row>
    <row r="181" spans="1:19" x14ac:dyDescent="0.25">
      <c r="A181" s="9" t="s">
        <v>175</v>
      </c>
      <c r="B181" s="9" t="s">
        <v>88</v>
      </c>
      <c r="C181" s="9" t="s">
        <v>19</v>
      </c>
      <c r="D181" s="9" t="s">
        <v>25</v>
      </c>
      <c r="E181" s="9" t="str">
        <f>IF(G181&lt;Oversigt!$I$8,Oversigt!$H$8,IF(G181&lt;Oversigt!$I$9,Oversigt!$H$9,IF(G181&lt;Oversigt!$I$10,Oversigt!$H$10,IF(G181&lt;Oversigt!$I$11,Oversigt!$H$11,IF(G181&lt;Oversigt!$I$12,Oversigt!$H$12,Oversigt!$H$13)))))</f>
        <v>Uncommon</v>
      </c>
      <c r="F181" s="9" t="s">
        <v>144</v>
      </c>
      <c r="G181" s="10">
        <v>5</v>
      </c>
      <c r="H181" s="9" t="s">
        <v>78</v>
      </c>
      <c r="I181" s="10">
        <v>5</v>
      </c>
      <c r="J181" s="9"/>
      <c r="K181" s="9"/>
      <c r="L181" s="9"/>
      <c r="M181" s="9"/>
      <c r="N181" s="9"/>
      <c r="O181" s="9"/>
      <c r="P181" s="9"/>
      <c r="Q181" s="9" t="s">
        <v>54</v>
      </c>
      <c r="R181" s="9"/>
      <c r="S181" s="9" t="s">
        <v>176</v>
      </c>
    </row>
    <row r="182" spans="1:19" x14ac:dyDescent="0.25">
      <c r="A182" s="9" t="s">
        <v>334</v>
      </c>
      <c r="B182" s="9" t="s">
        <v>88</v>
      </c>
      <c r="C182" s="9" t="s">
        <v>19</v>
      </c>
      <c r="D182" s="9" t="s">
        <v>25</v>
      </c>
      <c r="E182" s="9" t="str">
        <f>IF(G182&lt;Oversigt!$I$8,Oversigt!$H$8,IF(G182&lt;Oversigt!$I$9,Oversigt!$H$9,IF(G182&lt;Oversigt!$I$10,Oversigt!$H$10,IF(G182&lt;Oversigt!$I$11,Oversigt!$H$11,IF(G182&lt;Oversigt!$I$12,Oversigt!$H$12,Oversigt!$H$13)))))</f>
        <v>Uncommon</v>
      </c>
      <c r="F182" s="9" t="s">
        <v>144</v>
      </c>
      <c r="G182" s="10">
        <v>5</v>
      </c>
      <c r="H182" s="9" t="s">
        <v>191</v>
      </c>
      <c r="I182" s="10">
        <v>3</v>
      </c>
      <c r="J182" s="9"/>
      <c r="K182" s="9"/>
      <c r="L182" s="9"/>
      <c r="M182" s="9"/>
      <c r="N182" s="9"/>
      <c r="O182" s="9"/>
      <c r="P182" s="9"/>
      <c r="Q182" s="9" t="s">
        <v>335</v>
      </c>
      <c r="R182" s="9"/>
      <c r="S182" s="9" t="s">
        <v>336</v>
      </c>
    </row>
    <row r="183" spans="1:19" x14ac:dyDescent="0.25">
      <c r="A183" s="9" t="s">
        <v>394</v>
      </c>
      <c r="B183" s="9" t="s">
        <v>88</v>
      </c>
      <c r="C183" s="9" t="s">
        <v>19</v>
      </c>
      <c r="D183" s="9" t="s">
        <v>25</v>
      </c>
      <c r="E183" s="9" t="str">
        <f>IF(G183&lt;Oversigt!$I$8,Oversigt!$H$8,IF(G183&lt;Oversigt!$I$9,Oversigt!$H$9,IF(G183&lt;Oversigt!$I$10,Oversigt!$H$10,IF(G183&lt;Oversigt!$I$11,Oversigt!$H$11,IF(G183&lt;Oversigt!$I$12,Oversigt!$H$12,Oversigt!$H$13)))))</f>
        <v>Uncommon</v>
      </c>
      <c r="F183" s="9" t="s">
        <v>144</v>
      </c>
      <c r="G183" s="10">
        <v>5</v>
      </c>
      <c r="H183" s="9" t="s">
        <v>78</v>
      </c>
      <c r="I183" s="10">
        <v>5</v>
      </c>
      <c r="J183" s="9"/>
      <c r="K183" s="9"/>
      <c r="L183" s="9"/>
      <c r="M183" s="9"/>
      <c r="N183" s="9"/>
      <c r="O183" s="9"/>
      <c r="P183" s="9"/>
      <c r="Q183" s="9" t="s">
        <v>54</v>
      </c>
      <c r="R183" s="9"/>
      <c r="S183" s="9" t="s">
        <v>395</v>
      </c>
    </row>
    <row r="184" spans="1:19" x14ac:dyDescent="0.25">
      <c r="A184" s="9" t="s">
        <v>234</v>
      </c>
      <c r="B184" s="9" t="s">
        <v>88</v>
      </c>
      <c r="C184" s="9" t="s">
        <v>19</v>
      </c>
      <c r="D184" s="9" t="s">
        <v>25</v>
      </c>
      <c r="E184" s="9" t="str">
        <f>IF(G184&lt;Oversigt!$I$8,Oversigt!$H$8,IF(G184&lt;Oversigt!$I$9,Oversigt!$H$9,IF(G184&lt;Oversigt!$I$10,Oversigt!$H$10,IF(G184&lt;Oversigt!$I$11,Oversigt!$H$11,IF(G184&lt;Oversigt!$I$12,Oversigt!$H$12,Oversigt!$H$13)))))</f>
        <v>Uncommon</v>
      </c>
      <c r="F184" s="9" t="s">
        <v>235</v>
      </c>
      <c r="G184" s="10">
        <v>6</v>
      </c>
      <c r="H184" s="9" t="s">
        <v>191</v>
      </c>
      <c r="I184" s="10">
        <v>3</v>
      </c>
      <c r="J184" s="9"/>
      <c r="K184" s="9"/>
      <c r="L184" s="9"/>
      <c r="M184" s="9"/>
      <c r="N184" s="9"/>
      <c r="O184" s="9"/>
      <c r="P184" s="9"/>
      <c r="Q184" s="9" t="s">
        <v>50</v>
      </c>
      <c r="R184" s="9"/>
      <c r="S184" s="9" t="s">
        <v>236</v>
      </c>
    </row>
    <row r="185" spans="1:19" x14ac:dyDescent="0.25">
      <c r="A185" s="9" t="s">
        <v>126</v>
      </c>
      <c r="B185" s="9" t="s">
        <v>88</v>
      </c>
      <c r="C185" s="9" t="s">
        <v>19</v>
      </c>
      <c r="D185" s="9" t="s">
        <v>25</v>
      </c>
      <c r="E185" s="9" t="str">
        <f>IF(G185&lt;Oversigt!$I$8,Oversigt!$H$8,IF(G185&lt;Oversigt!$I$9,Oversigt!$H$9,IF(G185&lt;Oversigt!$I$10,Oversigt!$H$10,IF(G185&lt;Oversigt!$I$11,Oversigt!$H$11,IF(G185&lt;Oversigt!$I$12,Oversigt!$H$12,Oversigt!$H$13)))))</f>
        <v>Uncommon</v>
      </c>
      <c r="F185" s="9" t="s">
        <v>127</v>
      </c>
      <c r="G185" s="10">
        <v>8</v>
      </c>
      <c r="H185" s="9" t="s">
        <v>128</v>
      </c>
      <c r="I185" s="10">
        <v>6</v>
      </c>
      <c r="J185" s="9"/>
      <c r="K185" s="9"/>
      <c r="L185" s="9"/>
      <c r="M185" s="9"/>
      <c r="N185" s="9"/>
      <c r="O185" s="9"/>
      <c r="P185" s="9"/>
      <c r="Q185" s="9" t="s">
        <v>54</v>
      </c>
      <c r="R185" s="9"/>
      <c r="S185" s="9" t="s">
        <v>129</v>
      </c>
    </row>
    <row r="186" spans="1:19" x14ac:dyDescent="0.25">
      <c r="A186" s="9" t="s">
        <v>111</v>
      </c>
      <c r="B186" s="9" t="s">
        <v>88</v>
      </c>
      <c r="C186" s="9" t="s">
        <v>19</v>
      </c>
      <c r="D186" s="9" t="s">
        <v>25</v>
      </c>
      <c r="E186" s="9" t="str">
        <f>IF(G186&lt;Oversigt!$I$8,Oversigt!$H$8,IF(G186&lt;Oversigt!$I$9,Oversigt!$H$9,IF(G186&lt;Oversigt!$I$10,Oversigt!$H$10,IF(G186&lt;Oversigt!$I$11,Oversigt!$H$11,IF(G186&lt;Oversigt!$I$12,Oversigt!$H$12,Oversigt!$H$13)))))</f>
        <v>Rare</v>
      </c>
      <c r="F186" s="9" t="s">
        <v>97</v>
      </c>
      <c r="G186" s="10">
        <v>10</v>
      </c>
      <c r="H186" s="9" t="s">
        <v>78</v>
      </c>
      <c r="I186" s="10">
        <v>5</v>
      </c>
      <c r="J186" s="9"/>
      <c r="K186" s="9"/>
      <c r="L186" s="9"/>
      <c r="M186" s="9"/>
      <c r="N186" s="9"/>
      <c r="O186" s="9"/>
      <c r="P186" s="9"/>
      <c r="Q186" s="9" t="s">
        <v>54</v>
      </c>
      <c r="R186" s="9"/>
      <c r="S186" s="9" t="s">
        <v>112</v>
      </c>
    </row>
    <row r="187" spans="1:19" x14ac:dyDescent="0.25">
      <c r="A187" s="9" t="s">
        <v>430</v>
      </c>
      <c r="B187" s="9" t="s">
        <v>88</v>
      </c>
      <c r="C187" s="9" t="s">
        <v>19</v>
      </c>
      <c r="D187" s="9" t="s">
        <v>25</v>
      </c>
      <c r="E187" s="9" t="str">
        <f>IF(G187&lt;Oversigt!$I$8,Oversigt!$H$8,IF(G187&lt;Oversigt!$I$9,Oversigt!$H$9,IF(G187&lt;Oversigt!$I$10,Oversigt!$H$10,IF(G187&lt;Oversigt!$I$11,Oversigt!$H$11,IF(G187&lt;Oversigt!$I$12,Oversigt!$H$12,Oversigt!$H$13)))))</f>
        <v>Rare</v>
      </c>
      <c r="F187" s="9" t="s">
        <v>97</v>
      </c>
      <c r="G187" s="10">
        <v>10</v>
      </c>
      <c r="H187" s="9" t="s">
        <v>181</v>
      </c>
      <c r="I187" s="10">
        <v>8</v>
      </c>
      <c r="J187" s="9"/>
      <c r="K187" s="9"/>
      <c r="L187" s="9"/>
      <c r="M187" s="9"/>
      <c r="N187" s="9"/>
      <c r="O187" s="9"/>
      <c r="P187" s="9"/>
      <c r="Q187" s="9" t="s">
        <v>54</v>
      </c>
      <c r="R187" s="9"/>
      <c r="S187" s="9" t="s">
        <v>431</v>
      </c>
    </row>
    <row r="188" spans="1:19" x14ac:dyDescent="0.25">
      <c r="A188" s="9" t="s">
        <v>471</v>
      </c>
      <c r="B188" s="9" t="s">
        <v>88</v>
      </c>
      <c r="C188" s="9" t="s">
        <v>19</v>
      </c>
      <c r="D188" s="9" t="s">
        <v>25</v>
      </c>
      <c r="E188" s="9" t="str">
        <f>IF(G188&lt;Oversigt!$I$8,Oversigt!$H$8,IF(G188&lt;Oversigt!$I$9,Oversigt!$H$9,IF(G188&lt;Oversigt!$I$10,Oversigt!$H$10,IF(G188&lt;Oversigt!$I$11,Oversigt!$H$11,IF(G188&lt;Oversigt!$I$12,Oversigt!$H$12,Oversigt!$H$13)))))</f>
        <v>Rare</v>
      </c>
      <c r="F188" s="9" t="s">
        <v>97</v>
      </c>
      <c r="G188" s="10">
        <v>10</v>
      </c>
      <c r="H188" s="9" t="s">
        <v>78</v>
      </c>
      <c r="I188" s="10">
        <v>5</v>
      </c>
      <c r="J188" s="9"/>
      <c r="K188" s="9"/>
      <c r="L188" s="9"/>
      <c r="M188" s="9"/>
      <c r="N188" s="9"/>
      <c r="O188" s="9"/>
      <c r="P188" s="9"/>
      <c r="Q188" s="9" t="s">
        <v>54</v>
      </c>
      <c r="R188" s="9"/>
      <c r="S188" s="9" t="s">
        <v>472</v>
      </c>
    </row>
    <row r="189" spans="1:19" x14ac:dyDescent="0.25">
      <c r="A189" s="9" t="s">
        <v>505</v>
      </c>
      <c r="B189" s="9" t="s">
        <v>88</v>
      </c>
      <c r="C189" s="9" t="s">
        <v>19</v>
      </c>
      <c r="D189" s="9" t="s">
        <v>25</v>
      </c>
      <c r="E189" s="9" t="str">
        <f>IF(G189&lt;Oversigt!$I$8,Oversigt!$H$8,IF(G189&lt;Oversigt!$I$9,Oversigt!$H$9,IF(G189&lt;Oversigt!$I$10,Oversigt!$H$10,IF(G189&lt;Oversigt!$I$11,Oversigt!$H$11,IF(G189&lt;Oversigt!$I$12,Oversigt!$H$12,Oversigt!$H$13)))))</f>
        <v>Rare</v>
      </c>
      <c r="F189" s="9" t="s">
        <v>97</v>
      </c>
      <c r="G189" s="10">
        <v>10</v>
      </c>
      <c r="H189" s="9" t="s">
        <v>191</v>
      </c>
      <c r="I189" s="10">
        <v>3</v>
      </c>
      <c r="J189" s="9"/>
      <c r="K189" s="9"/>
      <c r="L189" s="9"/>
      <c r="M189" s="9"/>
      <c r="N189" s="9"/>
      <c r="O189" s="9"/>
      <c r="P189" s="9"/>
      <c r="Q189" s="9" t="s">
        <v>54</v>
      </c>
      <c r="R189" s="9"/>
      <c r="S189" s="9" t="s">
        <v>506</v>
      </c>
    </row>
    <row r="190" spans="1:19" x14ac:dyDescent="0.25">
      <c r="A190" s="9" t="s">
        <v>475</v>
      </c>
      <c r="B190" s="9" t="s">
        <v>88</v>
      </c>
      <c r="C190" s="9" t="s">
        <v>19</v>
      </c>
      <c r="D190" s="9" t="s">
        <v>25</v>
      </c>
      <c r="E190" s="9" t="str">
        <f>IF(G190&lt;Oversigt!$I$8,Oversigt!$H$8,IF(G190&lt;Oversigt!$I$9,Oversigt!$H$9,IF(G190&lt;Oversigt!$I$10,Oversigt!$H$10,IF(G190&lt;Oversigt!$I$11,Oversigt!$H$11,IF(G190&lt;Oversigt!$I$12,Oversigt!$H$12,Oversigt!$H$13)))))</f>
        <v>Rare</v>
      </c>
      <c r="F190" s="9" t="s">
        <v>239</v>
      </c>
      <c r="G190" s="10">
        <v>12</v>
      </c>
      <c r="H190" s="9" t="s">
        <v>94</v>
      </c>
      <c r="I190" s="10">
        <v>2</v>
      </c>
      <c r="J190" s="9"/>
      <c r="K190" s="9"/>
      <c r="L190" s="9"/>
      <c r="M190" s="9"/>
      <c r="N190" s="9"/>
      <c r="O190" s="9"/>
      <c r="P190" s="9"/>
      <c r="Q190" s="9" t="s">
        <v>50</v>
      </c>
      <c r="R190" s="9"/>
      <c r="S190" s="9" t="s">
        <v>236</v>
      </c>
    </row>
    <row r="191" spans="1:19" x14ac:dyDescent="0.25">
      <c r="A191" s="9" t="s">
        <v>141</v>
      </c>
      <c r="B191" s="9" t="s">
        <v>88</v>
      </c>
      <c r="C191" s="9" t="s">
        <v>19</v>
      </c>
      <c r="D191" s="9" t="s">
        <v>25</v>
      </c>
      <c r="E191" s="9" t="str">
        <f>IF(G191&lt;Oversigt!$I$8,Oversigt!$H$8,IF(G191&lt;Oversigt!$I$9,Oversigt!$H$9,IF(G191&lt;Oversigt!$I$10,Oversigt!$H$10,IF(G191&lt;Oversigt!$I$11,Oversigt!$H$11,IF(G191&lt;Oversigt!$I$12,Oversigt!$H$12,Oversigt!$H$13)))))</f>
        <v>Rare</v>
      </c>
      <c r="F191" s="9" t="s">
        <v>139</v>
      </c>
      <c r="G191" s="10">
        <v>15</v>
      </c>
      <c r="H191" s="9" t="s">
        <v>128</v>
      </c>
      <c r="I191" s="10">
        <v>6</v>
      </c>
      <c r="J191" s="9"/>
      <c r="K191" s="9"/>
      <c r="L191" s="9"/>
      <c r="M191" s="9"/>
      <c r="N191" s="9"/>
      <c r="O191" s="9"/>
      <c r="P191" s="9"/>
      <c r="Q191" s="9" t="s">
        <v>54</v>
      </c>
      <c r="R191" s="9"/>
      <c r="S191" s="9" t="s">
        <v>142</v>
      </c>
    </row>
    <row r="192" spans="1:19" x14ac:dyDescent="0.25">
      <c r="A192" s="9" t="s">
        <v>281</v>
      </c>
      <c r="B192" s="9" t="s">
        <v>88</v>
      </c>
      <c r="C192" s="9" t="s">
        <v>19</v>
      </c>
      <c r="D192" s="9" t="s">
        <v>25</v>
      </c>
      <c r="E192" s="9" t="str">
        <f>IF(G192&lt;Oversigt!$I$8,Oversigt!$H$8,IF(G192&lt;Oversigt!$I$9,Oversigt!$H$9,IF(G192&lt;Oversigt!$I$10,Oversigt!$H$10,IF(G192&lt;Oversigt!$I$11,Oversigt!$H$11,IF(G192&lt;Oversigt!$I$12,Oversigt!$H$12,Oversigt!$H$13)))))</f>
        <v>Rare</v>
      </c>
      <c r="F192" s="9" t="s">
        <v>139</v>
      </c>
      <c r="G192" s="10">
        <v>15</v>
      </c>
      <c r="H192" s="9" t="s">
        <v>78</v>
      </c>
      <c r="I192" s="10">
        <v>5</v>
      </c>
      <c r="J192" s="9"/>
      <c r="K192" s="9"/>
      <c r="L192" s="9"/>
      <c r="M192" s="9"/>
      <c r="N192" s="9"/>
      <c r="O192" s="9"/>
      <c r="P192" s="9"/>
      <c r="Q192" s="9" t="s">
        <v>227</v>
      </c>
      <c r="R192" s="9"/>
      <c r="S192" s="9" t="s">
        <v>282</v>
      </c>
    </row>
    <row r="193" spans="1:19" x14ac:dyDescent="0.25">
      <c r="A193" s="9" t="s">
        <v>87</v>
      </c>
      <c r="B193" s="9" t="s">
        <v>88</v>
      </c>
      <c r="C193" s="9" t="s">
        <v>19</v>
      </c>
      <c r="D193" s="9" t="s">
        <v>25</v>
      </c>
      <c r="E193" s="9" t="str">
        <f>IF(G193&lt;Oversigt!$I$8,Oversigt!$H$8,IF(G193&lt;Oversigt!$I$9,Oversigt!$H$9,IF(G193&lt;Oversigt!$I$10,Oversigt!$H$10,IF(G193&lt;Oversigt!$I$11,Oversigt!$H$11,IF(G193&lt;Oversigt!$I$12,Oversigt!$H$12,Oversigt!$H$13)))))</f>
        <v>Rare</v>
      </c>
      <c r="F193" s="9" t="s">
        <v>89</v>
      </c>
      <c r="G193" s="10">
        <v>20</v>
      </c>
      <c r="H193" s="9" t="s">
        <v>90</v>
      </c>
      <c r="I193" s="10">
        <v>9</v>
      </c>
      <c r="J193" s="9"/>
      <c r="K193" s="9"/>
      <c r="L193" s="9"/>
      <c r="M193" s="9"/>
      <c r="N193" s="9"/>
      <c r="O193" s="9"/>
      <c r="P193" s="9"/>
      <c r="Q193" s="9" t="s">
        <v>54</v>
      </c>
      <c r="R193" s="9"/>
      <c r="S193" s="9" t="s">
        <v>91</v>
      </c>
    </row>
    <row r="194" spans="1:19" x14ac:dyDescent="0.25">
      <c r="A194" s="9" t="s">
        <v>605</v>
      </c>
      <c r="B194" s="9" t="s">
        <v>88</v>
      </c>
      <c r="C194" s="9" t="s">
        <v>19</v>
      </c>
      <c r="D194" s="9" t="s">
        <v>25</v>
      </c>
      <c r="E194" s="9" t="str">
        <f>IF(G194&lt;Oversigt!$I$8,Oversigt!$H$8,IF(G194&lt;Oversigt!$I$9,Oversigt!$H$9,IF(G194&lt;Oversigt!$I$10,Oversigt!$H$10,IF(G194&lt;Oversigt!$I$11,Oversigt!$H$11,IF(G194&lt;Oversigt!$I$12,Oversigt!$H$12,Oversigt!$H$13)))))</f>
        <v>Rare</v>
      </c>
      <c r="F194" s="9" t="s">
        <v>89</v>
      </c>
      <c r="G194" s="10">
        <v>20</v>
      </c>
      <c r="H194" s="9" t="s">
        <v>181</v>
      </c>
      <c r="I194" s="10">
        <v>8</v>
      </c>
      <c r="J194" s="9"/>
      <c r="K194" s="9"/>
      <c r="L194" s="9"/>
      <c r="M194" s="9"/>
      <c r="N194" s="9"/>
      <c r="O194" s="9"/>
      <c r="P194" s="9"/>
      <c r="Q194" s="9" t="s">
        <v>54</v>
      </c>
      <c r="R194" s="9"/>
      <c r="S194" s="9" t="s">
        <v>606</v>
      </c>
    </row>
    <row r="195" spans="1:19" x14ac:dyDescent="0.25">
      <c r="A195" s="9" t="s">
        <v>226</v>
      </c>
      <c r="B195" s="9" t="s">
        <v>88</v>
      </c>
      <c r="C195" s="9" t="s">
        <v>19</v>
      </c>
      <c r="D195" s="9" t="s">
        <v>25</v>
      </c>
      <c r="E195" s="9" t="str">
        <f>IF(G195&lt;Oversigt!$I$8,Oversigt!$H$8,IF(G195&lt;Oversigt!$I$9,Oversigt!$H$9,IF(G195&lt;Oversigt!$I$10,Oversigt!$H$10,IF(G195&lt;Oversigt!$I$11,Oversigt!$H$11,IF(G195&lt;Oversigt!$I$12,Oversigt!$H$12,Oversigt!$H$13)))))</f>
        <v>Rare</v>
      </c>
      <c r="F195" s="9" t="s">
        <v>77</v>
      </c>
      <c r="G195" s="10">
        <v>25</v>
      </c>
      <c r="H195" s="9" t="s">
        <v>191</v>
      </c>
      <c r="I195" s="10">
        <v>3</v>
      </c>
      <c r="J195" s="9"/>
      <c r="K195" s="9"/>
      <c r="L195" s="9"/>
      <c r="M195" s="9"/>
      <c r="N195" s="9"/>
      <c r="O195" s="9"/>
      <c r="P195" s="9"/>
      <c r="Q195" s="9" t="s">
        <v>227</v>
      </c>
      <c r="R195" s="9"/>
      <c r="S195" s="9" t="s">
        <v>228</v>
      </c>
    </row>
    <row r="196" spans="1:19" x14ac:dyDescent="0.25">
      <c r="A196" s="9" t="s">
        <v>237</v>
      </c>
      <c r="B196" s="9" t="s">
        <v>88</v>
      </c>
      <c r="C196" s="9" t="s">
        <v>19</v>
      </c>
      <c r="D196" s="9" t="s">
        <v>25</v>
      </c>
      <c r="E196" s="9" t="str">
        <f>IF(G196&lt;Oversigt!$I$8,Oversigt!$H$8,IF(G196&lt;Oversigt!$I$9,Oversigt!$H$9,IF(G196&lt;Oversigt!$I$10,Oversigt!$H$10,IF(G196&lt;Oversigt!$I$11,Oversigt!$H$11,IF(G196&lt;Oversigt!$I$12,Oversigt!$H$12,Oversigt!$H$13)))))</f>
        <v>Rare</v>
      </c>
      <c r="F196" s="9" t="s">
        <v>77</v>
      </c>
      <c r="G196" s="10">
        <v>25</v>
      </c>
      <c r="H196" s="9" t="s">
        <v>145</v>
      </c>
      <c r="I196" s="10">
        <v>10</v>
      </c>
      <c r="J196" s="9"/>
      <c r="K196" s="9"/>
      <c r="L196" s="9"/>
      <c r="M196" s="9"/>
      <c r="N196" s="9"/>
      <c r="O196" s="9"/>
      <c r="P196" s="9"/>
      <c r="Q196" s="9" t="s">
        <v>50</v>
      </c>
      <c r="R196" s="9"/>
      <c r="S196" s="9" t="s">
        <v>236</v>
      </c>
    </row>
    <row r="197" spans="1:19" x14ac:dyDescent="0.25">
      <c r="A197" s="9" t="s">
        <v>364</v>
      </c>
      <c r="B197" s="9" t="s">
        <v>88</v>
      </c>
      <c r="C197" s="9" t="s">
        <v>19</v>
      </c>
      <c r="D197" s="9" t="s">
        <v>25</v>
      </c>
      <c r="E197" s="9" t="str">
        <f>IF(G197&lt;Oversigt!$I$8,Oversigt!$H$8,IF(G197&lt;Oversigt!$I$9,Oversigt!$H$9,IF(G197&lt;Oversigt!$I$10,Oversigt!$H$10,IF(G197&lt;Oversigt!$I$11,Oversigt!$H$11,IF(G197&lt;Oversigt!$I$12,Oversigt!$H$12,Oversigt!$H$13)))))</f>
        <v>Rare</v>
      </c>
      <c r="F197" s="9" t="s">
        <v>77</v>
      </c>
      <c r="G197" s="10">
        <v>25</v>
      </c>
      <c r="H197" s="9" t="s">
        <v>94</v>
      </c>
      <c r="I197" s="10">
        <v>2</v>
      </c>
      <c r="J197" s="9"/>
      <c r="K197" s="9"/>
      <c r="L197" s="9"/>
      <c r="M197" s="9"/>
      <c r="N197" s="9"/>
      <c r="O197" s="9"/>
      <c r="P197" s="9"/>
      <c r="Q197" s="9" t="s">
        <v>54</v>
      </c>
      <c r="R197" s="9"/>
      <c r="S197" s="9" t="s">
        <v>365</v>
      </c>
    </row>
    <row r="198" spans="1:19" x14ac:dyDescent="0.25">
      <c r="A198" s="9" t="s">
        <v>453</v>
      </c>
      <c r="B198" s="9" t="s">
        <v>88</v>
      </c>
      <c r="C198" s="9" t="s">
        <v>19</v>
      </c>
      <c r="D198" s="9" t="s">
        <v>25</v>
      </c>
      <c r="E198" s="9" t="str">
        <f>IF(G198&lt;Oversigt!$I$8,Oversigt!$H$8,IF(G198&lt;Oversigt!$I$9,Oversigt!$H$9,IF(G198&lt;Oversigt!$I$10,Oversigt!$H$10,IF(G198&lt;Oversigt!$I$11,Oversigt!$H$11,IF(G198&lt;Oversigt!$I$12,Oversigt!$H$12,Oversigt!$H$13)))))</f>
        <v>Rare</v>
      </c>
      <c r="F198" s="9" t="s">
        <v>77</v>
      </c>
      <c r="G198" s="10">
        <v>25</v>
      </c>
      <c r="H198" s="9" t="s">
        <v>94</v>
      </c>
      <c r="I198" s="10">
        <v>2</v>
      </c>
      <c r="J198" s="9"/>
      <c r="K198" s="9"/>
      <c r="L198" s="9"/>
      <c r="M198" s="9"/>
      <c r="N198" s="9"/>
      <c r="O198" s="9"/>
      <c r="P198" s="9"/>
      <c r="Q198" s="9" t="s">
        <v>98</v>
      </c>
      <c r="R198" s="9"/>
      <c r="S198" s="9" t="s">
        <v>454</v>
      </c>
    </row>
    <row r="199" spans="1:19" x14ac:dyDescent="0.25">
      <c r="A199" s="9" t="s">
        <v>635</v>
      </c>
      <c r="B199" s="9" t="s">
        <v>88</v>
      </c>
      <c r="C199" s="9" t="s">
        <v>19</v>
      </c>
      <c r="D199" s="9" t="s">
        <v>25</v>
      </c>
      <c r="E199" s="9" t="str">
        <f>IF(G199&lt;Oversigt!$I$8,Oversigt!$H$8,IF(G199&lt;Oversigt!$I$9,Oversigt!$H$9,IF(G199&lt;Oversigt!$I$10,Oversigt!$H$10,IF(G199&lt;Oversigt!$I$11,Oversigt!$H$11,IF(G199&lt;Oversigt!$I$12,Oversigt!$H$12,Oversigt!$H$13)))))</f>
        <v>Rare</v>
      </c>
      <c r="F199" s="9" t="s">
        <v>77</v>
      </c>
      <c r="G199" s="10">
        <v>25</v>
      </c>
      <c r="H199" s="9" t="s">
        <v>74</v>
      </c>
      <c r="I199" s="10">
        <v>1</v>
      </c>
      <c r="J199" s="9"/>
      <c r="K199" s="9"/>
      <c r="L199" s="9"/>
      <c r="M199" s="9"/>
      <c r="N199" s="9"/>
      <c r="O199" s="9"/>
      <c r="P199" s="9"/>
      <c r="Q199" s="9" t="s">
        <v>98</v>
      </c>
      <c r="R199" s="9"/>
      <c r="S199" s="9" t="s">
        <v>636</v>
      </c>
    </row>
    <row r="200" spans="1:19" x14ac:dyDescent="0.25">
      <c r="A200" s="9" t="s">
        <v>296</v>
      </c>
      <c r="B200" s="9" t="s">
        <v>88</v>
      </c>
      <c r="C200" s="9" t="s">
        <v>19</v>
      </c>
      <c r="D200" s="9" t="s">
        <v>25</v>
      </c>
      <c r="E200" s="9" t="str">
        <f>IF(G200&lt;Oversigt!$I$8,Oversigt!$H$8,IF(G200&lt;Oversigt!$I$9,Oversigt!$H$9,IF(G200&lt;Oversigt!$I$10,Oversigt!$H$10,IF(G200&lt;Oversigt!$I$11,Oversigt!$H$11,IF(G200&lt;Oversigt!$I$12,Oversigt!$H$12,Oversigt!$H$13)))))</f>
        <v>Rare</v>
      </c>
      <c r="F200" s="9" t="s">
        <v>297</v>
      </c>
      <c r="G200" s="10">
        <v>30</v>
      </c>
      <c r="H200" s="9" t="s">
        <v>78</v>
      </c>
      <c r="I200" s="10">
        <v>5</v>
      </c>
      <c r="J200" s="9"/>
      <c r="K200" s="9"/>
      <c r="L200" s="9"/>
      <c r="M200" s="9"/>
      <c r="N200" s="9"/>
      <c r="O200" s="9"/>
      <c r="P200" s="9"/>
      <c r="Q200" s="9" t="s">
        <v>54</v>
      </c>
      <c r="R200" s="9"/>
      <c r="S200" s="9" t="s">
        <v>298</v>
      </c>
    </row>
    <row r="201" spans="1:19" x14ac:dyDescent="0.25">
      <c r="A201" s="9" t="s">
        <v>415</v>
      </c>
      <c r="B201" s="9" t="s">
        <v>88</v>
      </c>
      <c r="C201" s="9" t="s">
        <v>19</v>
      </c>
      <c r="D201" s="9" t="s">
        <v>25</v>
      </c>
      <c r="E201" s="9" t="str">
        <f>IF(G201&lt;Oversigt!$I$8,Oversigt!$H$8,IF(G201&lt;Oversigt!$I$9,Oversigt!$H$9,IF(G201&lt;Oversigt!$I$10,Oversigt!$H$10,IF(G201&lt;Oversigt!$I$11,Oversigt!$H$11,IF(G201&lt;Oversigt!$I$12,Oversigt!$H$12,Oversigt!$H$13)))))</f>
        <v>Rare</v>
      </c>
      <c r="F201" s="9" t="s">
        <v>297</v>
      </c>
      <c r="G201" s="10">
        <v>30</v>
      </c>
      <c r="H201" s="9" t="s">
        <v>94</v>
      </c>
      <c r="I201" s="10">
        <v>2</v>
      </c>
      <c r="J201" s="9"/>
      <c r="K201" s="9"/>
      <c r="L201" s="9"/>
      <c r="M201" s="9"/>
      <c r="N201" s="9"/>
      <c r="O201" s="9"/>
      <c r="P201" s="9"/>
      <c r="Q201" s="9" t="s">
        <v>50</v>
      </c>
      <c r="R201" s="9"/>
      <c r="S201" s="9" t="s">
        <v>236</v>
      </c>
    </row>
    <row r="202" spans="1:19" x14ac:dyDescent="0.25">
      <c r="A202" s="9" t="s">
        <v>658</v>
      </c>
      <c r="B202" s="9" t="s">
        <v>88</v>
      </c>
      <c r="C202" s="9" t="s">
        <v>19</v>
      </c>
      <c r="D202" s="9" t="s">
        <v>25</v>
      </c>
      <c r="E202" s="9" t="str">
        <f>IF(G202&lt;Oversigt!$I$8,Oversigt!$H$8,IF(G202&lt;Oversigt!$I$9,Oversigt!$H$9,IF(G202&lt;Oversigt!$I$10,Oversigt!$H$10,IF(G202&lt;Oversigt!$I$11,Oversigt!$H$11,IF(G202&lt;Oversigt!$I$12,Oversigt!$H$12,Oversigt!$H$13)))))</f>
        <v>Rare</v>
      </c>
      <c r="F202" s="9" t="s">
        <v>297</v>
      </c>
      <c r="G202" s="10">
        <v>30</v>
      </c>
      <c r="H202" s="9" t="s">
        <v>74</v>
      </c>
      <c r="I202" s="10">
        <v>1</v>
      </c>
      <c r="J202" s="9"/>
      <c r="K202" s="9"/>
      <c r="L202" s="9"/>
      <c r="M202" s="9"/>
      <c r="N202" s="9"/>
      <c r="O202" s="9"/>
      <c r="P202" s="9"/>
      <c r="Q202" s="9" t="s">
        <v>50</v>
      </c>
      <c r="R202" s="9"/>
      <c r="S202" s="9" t="s">
        <v>236</v>
      </c>
    </row>
    <row r="203" spans="1:19" x14ac:dyDescent="0.25">
      <c r="A203" s="9" t="s">
        <v>414</v>
      </c>
      <c r="B203" s="9" t="s">
        <v>88</v>
      </c>
      <c r="C203" s="9" t="s">
        <v>19</v>
      </c>
      <c r="D203" s="9" t="s">
        <v>25</v>
      </c>
      <c r="E203" s="9" t="str">
        <f>IF(G203&lt;Oversigt!$I$8,Oversigt!$H$8,IF(G203&lt;Oversigt!$I$9,Oversigt!$H$9,IF(G203&lt;Oversigt!$I$10,Oversigt!$H$10,IF(G203&lt;Oversigt!$I$11,Oversigt!$H$11,IF(G203&lt;Oversigt!$I$12,Oversigt!$H$12,Oversigt!$H$13)))))</f>
        <v>Rare</v>
      </c>
      <c r="F203" s="9" t="s">
        <v>319</v>
      </c>
      <c r="G203" s="10">
        <v>35</v>
      </c>
      <c r="H203" s="9" t="s">
        <v>94</v>
      </c>
      <c r="I203" s="10">
        <v>2</v>
      </c>
      <c r="J203" s="9"/>
      <c r="K203" s="9"/>
      <c r="L203" s="9"/>
      <c r="M203" s="9"/>
      <c r="N203" s="9"/>
      <c r="O203" s="9"/>
      <c r="P203" s="9"/>
      <c r="Q203" s="9" t="s">
        <v>50</v>
      </c>
      <c r="R203" s="9"/>
      <c r="S203" s="9" t="s">
        <v>236</v>
      </c>
    </row>
    <row r="204" spans="1:19" x14ac:dyDescent="0.25">
      <c r="A204" s="9" t="s">
        <v>495</v>
      </c>
      <c r="B204" s="9" t="s">
        <v>88</v>
      </c>
      <c r="C204" s="9" t="s">
        <v>19</v>
      </c>
      <c r="D204" s="9" t="s">
        <v>25</v>
      </c>
      <c r="E204" s="9" t="str">
        <f>IF(G204&lt;Oversigt!$I$8,Oversigt!$H$8,IF(G204&lt;Oversigt!$I$9,Oversigt!$H$9,IF(G204&lt;Oversigt!$I$10,Oversigt!$H$10,IF(G204&lt;Oversigt!$I$11,Oversigt!$H$11,IF(G204&lt;Oversigt!$I$12,Oversigt!$H$12,Oversigt!$H$13)))))</f>
        <v>Very Rare</v>
      </c>
      <c r="F204" s="9" t="s">
        <v>119</v>
      </c>
      <c r="G204" s="10">
        <v>50</v>
      </c>
      <c r="H204" s="9" t="s">
        <v>94</v>
      </c>
      <c r="I204" s="10">
        <v>2</v>
      </c>
      <c r="J204" s="9"/>
      <c r="K204" s="9"/>
      <c r="L204" s="9"/>
      <c r="M204" s="9"/>
      <c r="N204" s="9"/>
      <c r="O204" s="9"/>
      <c r="P204" s="9"/>
      <c r="Q204" s="9" t="s">
        <v>54</v>
      </c>
      <c r="R204" s="9"/>
      <c r="S204" s="9" t="s">
        <v>496</v>
      </c>
    </row>
    <row r="205" spans="1:19" x14ac:dyDescent="0.25">
      <c r="A205" s="9" t="s">
        <v>640</v>
      </c>
      <c r="B205" s="9" t="s">
        <v>88</v>
      </c>
      <c r="C205" s="9" t="s">
        <v>19</v>
      </c>
      <c r="D205" s="9" t="s">
        <v>25</v>
      </c>
      <c r="E205" s="9" t="str">
        <f>IF(G205&lt;Oversigt!$I$8,Oversigt!$H$8,IF(G205&lt;Oversigt!$I$9,Oversigt!$H$9,IF(G205&lt;Oversigt!$I$10,Oversigt!$H$10,IF(G205&lt;Oversigt!$I$11,Oversigt!$H$11,IF(G205&lt;Oversigt!$I$12,Oversigt!$H$12,Oversigt!$H$13)))))</f>
        <v>Very Rare</v>
      </c>
      <c r="F205" s="9" t="s">
        <v>119</v>
      </c>
      <c r="G205" s="10">
        <v>50</v>
      </c>
      <c r="H205" s="9" t="s">
        <v>145</v>
      </c>
      <c r="I205" s="10">
        <v>10</v>
      </c>
      <c r="J205" s="9"/>
      <c r="K205" s="9"/>
      <c r="L205" s="9"/>
      <c r="M205" s="9"/>
      <c r="N205" s="9"/>
      <c r="O205" s="9"/>
      <c r="P205" s="9"/>
      <c r="Q205" s="9" t="s">
        <v>54</v>
      </c>
      <c r="R205" s="9"/>
      <c r="S205" s="9" t="s">
        <v>641</v>
      </c>
    </row>
    <row r="206" spans="1:19" x14ac:dyDescent="0.25">
      <c r="A206" s="9" t="s">
        <v>138</v>
      </c>
      <c r="B206" s="9" t="s">
        <v>131</v>
      </c>
      <c r="C206" s="9" t="s">
        <v>13</v>
      </c>
      <c r="D206" s="9" t="s">
        <v>25</v>
      </c>
      <c r="E206" s="9" t="str">
        <f>IF(G206&lt;Oversigt!$I$8,Oversigt!$H$8,IF(G206&lt;Oversigt!$I$9,Oversigt!$H$9,IF(G206&lt;Oversigt!$I$10,Oversigt!$H$10,IF(G206&lt;Oversigt!$I$11,Oversigt!$H$11,IF(G206&lt;Oversigt!$I$12,Oversigt!$H$12,Oversigt!$H$13)))))</f>
        <v>Rare</v>
      </c>
      <c r="F206" s="9" t="s">
        <v>139</v>
      </c>
      <c r="G206" s="10">
        <v>15</v>
      </c>
      <c r="H206" s="9" t="s">
        <v>140</v>
      </c>
      <c r="I206" s="10">
        <v>200</v>
      </c>
      <c r="J206" s="9"/>
      <c r="K206" s="9"/>
      <c r="L206" s="9"/>
      <c r="M206" s="9"/>
      <c r="N206" s="9"/>
      <c r="O206" s="9"/>
      <c r="P206" s="9"/>
      <c r="Q206" s="9" t="s">
        <v>120</v>
      </c>
      <c r="R206" s="9"/>
      <c r="S206" s="9" t="s">
        <v>133</v>
      </c>
    </row>
    <row r="207" spans="1:19" x14ac:dyDescent="0.25">
      <c r="A207" s="9" t="s">
        <v>596</v>
      </c>
      <c r="B207" s="9" t="s">
        <v>131</v>
      </c>
      <c r="C207" s="9" t="s">
        <v>13</v>
      </c>
      <c r="D207" s="9" t="s">
        <v>25</v>
      </c>
      <c r="E207" s="9" t="str">
        <f>IF(G207&lt;Oversigt!$I$8,Oversigt!$H$8,IF(G207&lt;Oversigt!$I$9,Oversigt!$H$9,IF(G207&lt;Oversigt!$I$10,Oversigt!$H$10,IF(G207&lt;Oversigt!$I$11,Oversigt!$H$11,IF(G207&lt;Oversigt!$I$12,Oversigt!$H$12,Oversigt!$H$13)))))</f>
        <v>Rare</v>
      </c>
      <c r="F207" s="9" t="s">
        <v>89</v>
      </c>
      <c r="G207" s="10">
        <v>20</v>
      </c>
      <c r="H207" s="9" t="s">
        <v>597</v>
      </c>
      <c r="I207" s="10">
        <v>300</v>
      </c>
      <c r="J207" s="9"/>
      <c r="K207" s="9"/>
      <c r="L207" s="9"/>
      <c r="M207" s="9"/>
      <c r="N207" s="9"/>
      <c r="O207" s="9"/>
      <c r="P207" s="9"/>
      <c r="Q207" s="9" t="s">
        <v>120</v>
      </c>
      <c r="R207" s="9"/>
      <c r="S207" s="9" t="s">
        <v>133</v>
      </c>
    </row>
    <row r="208" spans="1:19" x14ac:dyDescent="0.25">
      <c r="A208" s="9" t="s">
        <v>659</v>
      </c>
      <c r="B208" s="9" t="s">
        <v>131</v>
      </c>
      <c r="C208" s="9" t="s">
        <v>13</v>
      </c>
      <c r="D208" s="9" t="s">
        <v>25</v>
      </c>
      <c r="E208" s="9" t="str">
        <f>IF(G208&lt;Oversigt!$I$8,Oversigt!$H$8,IF(G208&lt;Oversigt!$I$9,Oversigt!$H$9,IF(G208&lt;Oversigt!$I$10,Oversigt!$H$10,IF(G208&lt;Oversigt!$I$11,Oversigt!$H$11,IF(G208&lt;Oversigt!$I$12,Oversigt!$H$12,Oversigt!$H$13)))))</f>
        <v>Rare</v>
      </c>
      <c r="F208" s="9" t="s">
        <v>319</v>
      </c>
      <c r="G208" s="10">
        <v>35</v>
      </c>
      <c r="H208" s="9" t="s">
        <v>660</v>
      </c>
      <c r="I208" s="10">
        <v>400</v>
      </c>
      <c r="J208" s="9"/>
      <c r="K208" s="9"/>
      <c r="L208" s="9"/>
      <c r="M208" s="9"/>
      <c r="N208" s="9"/>
      <c r="O208" s="9"/>
      <c r="P208" s="9"/>
      <c r="Q208" s="9" t="s">
        <v>120</v>
      </c>
      <c r="R208" s="9"/>
      <c r="S208" s="9" t="s">
        <v>133</v>
      </c>
    </row>
    <row r="209" spans="1:19" x14ac:dyDescent="0.25">
      <c r="A209" s="9" t="s">
        <v>130</v>
      </c>
      <c r="B209" s="9" t="s">
        <v>131</v>
      </c>
      <c r="C209" s="9" t="s">
        <v>13</v>
      </c>
      <c r="D209" s="9" t="s">
        <v>25</v>
      </c>
      <c r="E209" s="9" t="str">
        <f>IF(G209&lt;Oversigt!$I$8,Oversigt!$H$8,IF(G209&lt;Oversigt!$I$9,Oversigt!$H$9,IF(G209&lt;Oversigt!$I$10,Oversigt!$H$10,IF(G209&lt;Oversigt!$I$11,Oversigt!$H$11,IF(G209&lt;Oversigt!$I$12,Oversigt!$H$12,Oversigt!$H$13)))))</f>
        <v>Very Rare</v>
      </c>
      <c r="F209" s="9" t="s">
        <v>73</v>
      </c>
      <c r="G209" s="10">
        <v>100</v>
      </c>
      <c r="H209" s="9" t="s">
        <v>132</v>
      </c>
      <c r="I209" s="10">
        <v>600</v>
      </c>
      <c r="J209" s="9"/>
      <c r="K209" s="9"/>
      <c r="L209" s="9"/>
      <c r="M209" s="9"/>
      <c r="N209" s="9"/>
      <c r="O209" s="9"/>
      <c r="P209" s="9"/>
      <c r="Q209" s="9" t="s">
        <v>120</v>
      </c>
      <c r="R209" s="9"/>
      <c r="S209" s="9" t="s">
        <v>133</v>
      </c>
    </row>
    <row r="210" spans="1:19" x14ac:dyDescent="0.25">
      <c r="A210" s="9" t="s">
        <v>158</v>
      </c>
      <c r="B210" s="9" t="s">
        <v>131</v>
      </c>
      <c r="C210" s="9" t="s">
        <v>13</v>
      </c>
      <c r="D210" s="9" t="s">
        <v>25</v>
      </c>
      <c r="E210" s="9" t="str">
        <f>IF(G210&lt;Oversigt!$I$8,Oversigt!$H$8,IF(G210&lt;Oversigt!$I$9,Oversigt!$H$9,IF(G210&lt;Oversigt!$I$10,Oversigt!$H$10,IF(G210&lt;Oversigt!$I$11,Oversigt!$H$11,IF(G210&lt;Oversigt!$I$12,Oversigt!$H$12,Oversigt!$H$13)))))</f>
        <v>Legendary</v>
      </c>
      <c r="F210" s="9" t="s">
        <v>159</v>
      </c>
      <c r="G210" s="10">
        <v>250</v>
      </c>
      <c r="H210" s="9" t="s">
        <v>160</v>
      </c>
      <c r="I210" s="10">
        <v>100</v>
      </c>
      <c r="J210" s="9"/>
      <c r="K210" s="9"/>
      <c r="L210" s="9"/>
      <c r="M210" s="9"/>
      <c r="N210" s="9"/>
      <c r="O210" s="9"/>
      <c r="P210" s="9"/>
      <c r="Q210" s="9" t="s">
        <v>120</v>
      </c>
      <c r="R210" s="9"/>
      <c r="S210" s="9" t="s">
        <v>133</v>
      </c>
    </row>
    <row r="211" spans="1:19" x14ac:dyDescent="0.25">
      <c r="A211" s="9" t="s">
        <v>552</v>
      </c>
      <c r="B211" s="9" t="s">
        <v>286</v>
      </c>
      <c r="C211" s="9" t="s">
        <v>13</v>
      </c>
      <c r="D211" s="9" t="s">
        <v>25</v>
      </c>
      <c r="E211" s="9" t="str">
        <f>IF(L211&lt;Oversigt!$I$8,Oversigt!$H$8,IF(L211&lt;Oversigt!$I$9,Oversigt!$H$9,IF(L211&lt;Oversigt!$I$10,Oversigt!$H$10,IF(L211&lt;Oversigt!$I$11,Oversigt!$H$11,IF(L211&lt;Oversigt!$I$12,Oversigt!$H$12,Oversigt!$H$13)))))</f>
        <v>Very Rare</v>
      </c>
      <c r="F211" s="9" t="s">
        <v>119</v>
      </c>
      <c r="H211" s="9" t="s">
        <v>160</v>
      </c>
      <c r="I211" s="10">
        <v>100</v>
      </c>
      <c r="J211" s="9"/>
      <c r="K211" s="9"/>
      <c r="L211" s="10">
        <v>50</v>
      </c>
      <c r="M211" s="9"/>
      <c r="N211" s="9"/>
      <c r="O211" s="9"/>
      <c r="P211" s="9"/>
      <c r="Q211" s="9" t="s">
        <v>120</v>
      </c>
      <c r="R211" s="9"/>
      <c r="S211" s="9" t="s">
        <v>553</v>
      </c>
    </row>
    <row r="212" spans="1:19" x14ac:dyDescent="0.25">
      <c r="A212" s="9" t="s">
        <v>368</v>
      </c>
      <c r="B212" s="9" t="s">
        <v>286</v>
      </c>
      <c r="C212" s="9" t="s">
        <v>13</v>
      </c>
      <c r="D212" s="9" t="s">
        <v>25</v>
      </c>
      <c r="E212" s="9">
        <f>IF(L212&lt;Oversigt!$I$8,Oversigt!$H$8,IF(L212&lt;Oversigt!$I$9,Oversigt!$H$9,IF(L212&lt;Oversigt!$I$10,Oversigt!$H$10,IF(L212&lt;Oversigt!$I$11,Oversigt!$H$11,IF(L212&lt;Oversigt!$I$12,Oversigt!$H$12,Oversigt!$H$13)))))</f>
        <v>0</v>
      </c>
      <c r="F212" s="9" t="s">
        <v>369</v>
      </c>
      <c r="H212" s="9"/>
      <c r="I212" s="10"/>
      <c r="J212" s="9"/>
      <c r="K212" s="9"/>
      <c r="L212" s="10">
        <v>3000</v>
      </c>
      <c r="M212" s="9"/>
      <c r="N212" s="9"/>
      <c r="O212" s="9"/>
      <c r="P212" s="9"/>
      <c r="Q212" s="9" t="s">
        <v>120</v>
      </c>
      <c r="R212" s="9"/>
      <c r="S212" s="9" t="s">
        <v>370</v>
      </c>
    </row>
    <row r="213" spans="1:19" x14ac:dyDescent="0.25">
      <c r="A213" s="9" t="s">
        <v>408</v>
      </c>
      <c r="B213" s="9" t="s">
        <v>286</v>
      </c>
      <c r="C213" s="9" t="s">
        <v>13</v>
      </c>
      <c r="D213" s="9" t="s">
        <v>25</v>
      </c>
      <c r="E213" s="9">
        <f>IF(L213&lt;Oversigt!$I$8,Oversigt!$H$8,IF(L213&lt;Oversigt!$I$9,Oversigt!$H$9,IF(L213&lt;Oversigt!$I$10,Oversigt!$H$10,IF(L213&lt;Oversigt!$I$11,Oversigt!$H$11,IF(L213&lt;Oversigt!$I$12,Oversigt!$H$12,Oversigt!$H$13)))))</f>
        <v>0</v>
      </c>
      <c r="F213" s="9" t="s">
        <v>409</v>
      </c>
      <c r="H213" s="9"/>
      <c r="I213" s="10"/>
      <c r="J213" s="9"/>
      <c r="K213" s="9"/>
      <c r="L213" s="10">
        <v>10000</v>
      </c>
      <c r="M213" s="9"/>
      <c r="N213" s="9"/>
      <c r="O213" s="9"/>
      <c r="P213" s="9"/>
      <c r="Q213" s="9" t="s">
        <v>120</v>
      </c>
      <c r="R213" s="9"/>
      <c r="S213" s="9" t="s">
        <v>410</v>
      </c>
    </row>
    <row r="214" spans="1:19" x14ac:dyDescent="0.25">
      <c r="A214" s="9" t="s">
        <v>556</v>
      </c>
      <c r="B214" s="9" t="s">
        <v>286</v>
      </c>
      <c r="C214" s="9" t="s">
        <v>13</v>
      </c>
      <c r="D214" s="9" t="s">
        <v>25</v>
      </c>
      <c r="E214" s="9">
        <f>IF(L214&lt;Oversigt!$I$8,Oversigt!$H$8,IF(L214&lt;Oversigt!$I$9,Oversigt!$H$9,IF(L214&lt;Oversigt!$I$10,Oversigt!$H$10,IF(L214&lt;Oversigt!$I$11,Oversigt!$H$11,IF(L214&lt;Oversigt!$I$12,Oversigt!$H$12,Oversigt!$H$13)))))</f>
        <v>0</v>
      </c>
      <c r="F214" s="9" t="s">
        <v>409</v>
      </c>
      <c r="H214" s="9"/>
      <c r="I214" s="10"/>
      <c r="J214" s="9"/>
      <c r="K214" s="9"/>
      <c r="L214" s="10">
        <v>10000</v>
      </c>
      <c r="M214" s="9"/>
      <c r="N214" s="9"/>
      <c r="O214" s="9"/>
      <c r="P214" s="9"/>
      <c r="Q214" s="9" t="s">
        <v>120</v>
      </c>
      <c r="R214" s="9" t="s">
        <v>557</v>
      </c>
      <c r="S214" s="9" t="s">
        <v>558</v>
      </c>
    </row>
    <row r="215" spans="1:19" x14ac:dyDescent="0.25">
      <c r="A215" s="9" t="s">
        <v>670</v>
      </c>
      <c r="B215" s="9" t="s">
        <v>286</v>
      </c>
      <c r="C215" s="9" t="s">
        <v>13</v>
      </c>
      <c r="D215" s="9" t="s">
        <v>25</v>
      </c>
      <c r="E215" s="9">
        <f>IF(L215&lt;Oversigt!$I$8,Oversigt!$H$8,IF(L215&lt;Oversigt!$I$9,Oversigt!$H$9,IF(L215&lt;Oversigt!$I$10,Oversigt!$H$10,IF(L215&lt;Oversigt!$I$11,Oversigt!$H$11,IF(L215&lt;Oversigt!$I$12,Oversigt!$H$12,Oversigt!$H$13)))))</f>
        <v>0</v>
      </c>
      <c r="F215" s="9" t="s">
        <v>671</v>
      </c>
      <c r="H215" s="9"/>
      <c r="I215" s="10"/>
      <c r="J215" s="9"/>
      <c r="K215" s="9"/>
      <c r="L215" s="10">
        <v>25000</v>
      </c>
      <c r="M215" s="9"/>
      <c r="N215" s="9"/>
      <c r="O215" s="9"/>
      <c r="P215" s="9"/>
      <c r="Q215" s="9" t="s">
        <v>120</v>
      </c>
      <c r="R215" s="9" t="s">
        <v>672</v>
      </c>
      <c r="S215" s="9" t="s">
        <v>673</v>
      </c>
    </row>
    <row r="216" spans="1:19" x14ac:dyDescent="0.25">
      <c r="A216" s="9" t="s">
        <v>285</v>
      </c>
      <c r="B216" s="9" t="s">
        <v>286</v>
      </c>
      <c r="C216" s="9" t="s">
        <v>13</v>
      </c>
      <c r="D216" s="9" t="s">
        <v>25</v>
      </c>
      <c r="E216" s="9">
        <f>IF(L216&lt;Oversigt!$I$8,Oversigt!$H$8,IF(L216&lt;Oversigt!$I$9,Oversigt!$H$9,IF(L216&lt;Oversigt!$I$10,Oversigt!$H$10,IF(L216&lt;Oversigt!$I$11,Oversigt!$H$11,IF(L216&lt;Oversigt!$I$12,Oversigt!$H$12,Oversigt!$H$13)))))</f>
        <v>0</v>
      </c>
      <c r="F216" s="9" t="s">
        <v>287</v>
      </c>
      <c r="H216" s="9"/>
      <c r="I216" s="10"/>
      <c r="J216" s="9"/>
      <c r="K216" s="9"/>
      <c r="L216" s="10">
        <v>30000</v>
      </c>
      <c r="M216" s="9"/>
      <c r="N216" s="9"/>
      <c r="O216" s="9"/>
      <c r="P216" s="9"/>
      <c r="Q216" s="9" t="s">
        <v>120</v>
      </c>
      <c r="R216" s="9"/>
      <c r="S216" s="9" t="s">
        <v>288</v>
      </c>
    </row>
  </sheetData>
  <autoFilter ref="A1:S216" xr:uid="{00000000-0009-0000-0000-000001000000}">
    <sortState xmlns:xlrd2="http://schemas.microsoft.com/office/spreadsheetml/2017/richdata2" ref="A2:S216">
      <sortCondition ref="B1:B216"/>
    </sortState>
  </autoFilter>
  <pageMargins left="0.75" right="0.75" top="1" bottom="1" header="0.511811023622047" footer="0.511811023622047"/>
  <pageSetup paperSize="9" orientation="portrait" horizontalDpi="300" verticalDpi="300"/>
  <headerFooter>
    <oddFooter>&amp;L_x000D_&amp;1#&amp;"Arial"&amp;8&amp;K737373 Classified by Alfa Laval as: Business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89B9-B6B9-4F97-A90C-1BDC34C1C1BA}">
  <dimension ref="A1"/>
  <sheetViews>
    <sheetView workbookViewId="0"/>
  </sheetViews>
  <sheetFormatPr defaultRowHeight="15" x14ac:dyDescent="0.25"/>
  <sheetData/>
  <pageMargins left="0.7" right="0.7" top="0.75" bottom="0.75" header="0.3" footer="0.3"/>
  <headerFooter>
    <oddFooter>&amp;L_x000D_&amp;1#&amp;"Arial"&amp;8&amp;K737373 Classified by Alfa Laval as: Business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4"/>
  <sheetViews>
    <sheetView zoomScaleNormal="100" workbookViewId="0">
      <pane xSplit="1" ySplit="1" topLeftCell="B2" activePane="bottomRight" state="frozen"/>
      <selection pane="topRight" activeCell="B1" sqref="B1"/>
      <selection pane="bottomLeft" activeCell="A2" sqref="A2"/>
      <selection pane="bottomRight" activeCell="L46" sqref="L46"/>
    </sheetView>
  </sheetViews>
  <sheetFormatPr defaultColWidth="8.7109375" defaultRowHeight="15" x14ac:dyDescent="0.25"/>
  <cols>
    <col min="1" max="1" width="24" customWidth="1"/>
    <col min="2" max="2" width="22" customWidth="1"/>
    <col min="3" max="3" width="9" customWidth="1"/>
    <col min="4" max="4" width="13" customWidth="1"/>
    <col min="5" max="5" width="44" customWidth="1"/>
    <col min="6" max="6" width="10" customWidth="1"/>
    <col min="7" max="10" width="11" customWidth="1"/>
    <col min="11" max="11" width="24" customWidth="1"/>
    <col min="12" max="12" width="90" customWidth="1"/>
  </cols>
  <sheetData>
    <row r="1" spans="1:12" x14ac:dyDescent="0.25">
      <c r="A1" s="8" t="s">
        <v>56</v>
      </c>
      <c r="B1" s="8" t="s">
        <v>57</v>
      </c>
      <c r="C1" s="8" t="s">
        <v>62</v>
      </c>
      <c r="D1" s="8" t="s">
        <v>63</v>
      </c>
      <c r="E1" s="8" t="s">
        <v>64</v>
      </c>
      <c r="F1" s="8" t="s">
        <v>27</v>
      </c>
      <c r="G1" s="8" t="s">
        <v>58</v>
      </c>
      <c r="H1" s="8" t="s">
        <v>59</v>
      </c>
      <c r="I1" s="8" t="s">
        <v>60</v>
      </c>
      <c r="J1" s="8" t="s">
        <v>61</v>
      </c>
      <c r="K1" s="8" t="s">
        <v>22</v>
      </c>
      <c r="L1" s="8" t="s">
        <v>70</v>
      </c>
    </row>
    <row r="2" spans="1:12" x14ac:dyDescent="0.25">
      <c r="A2" s="9" t="s">
        <v>215</v>
      </c>
      <c r="B2" s="9" t="s">
        <v>202</v>
      </c>
      <c r="C2" s="9" t="s">
        <v>170</v>
      </c>
      <c r="D2" s="9" t="s">
        <v>193</v>
      </c>
      <c r="E2" s="9" t="s">
        <v>217</v>
      </c>
      <c r="F2" s="9" t="s">
        <v>36</v>
      </c>
      <c r="G2" s="9" t="s">
        <v>93</v>
      </c>
      <c r="H2" s="10">
        <v>0.05</v>
      </c>
      <c r="I2" s="9" t="s">
        <v>216</v>
      </c>
      <c r="J2" s="10">
        <v>0.25</v>
      </c>
      <c r="K2" s="9" t="s">
        <v>23</v>
      </c>
      <c r="L2" s="9" t="s">
        <v>218</v>
      </c>
    </row>
    <row r="3" spans="1:12" x14ac:dyDescent="0.25">
      <c r="A3" s="9" t="s">
        <v>167</v>
      </c>
      <c r="B3" s="9" t="s">
        <v>168</v>
      </c>
      <c r="C3" s="9" t="s">
        <v>170</v>
      </c>
      <c r="D3" s="9" t="s">
        <v>171</v>
      </c>
      <c r="E3" s="9" t="s">
        <v>172</v>
      </c>
      <c r="F3" s="9" t="s">
        <v>34</v>
      </c>
      <c r="G3" s="9" t="s">
        <v>169</v>
      </c>
      <c r="H3" s="10">
        <v>0.1</v>
      </c>
      <c r="I3" s="9" t="s">
        <v>94</v>
      </c>
      <c r="J3" s="10">
        <v>2</v>
      </c>
      <c r="K3" s="9" t="s">
        <v>23</v>
      </c>
      <c r="L3" s="9" t="s">
        <v>174</v>
      </c>
    </row>
    <row r="4" spans="1:12" x14ac:dyDescent="0.25">
      <c r="A4" s="9" t="s">
        <v>598</v>
      </c>
      <c r="B4" s="9" t="s">
        <v>202</v>
      </c>
      <c r="C4" s="9" t="s">
        <v>170</v>
      </c>
      <c r="D4" s="9" t="s">
        <v>171</v>
      </c>
      <c r="E4" s="9" t="s">
        <v>599</v>
      </c>
      <c r="F4" s="9" t="s">
        <v>34</v>
      </c>
      <c r="G4" s="9" t="s">
        <v>169</v>
      </c>
      <c r="H4" s="10">
        <v>0.1</v>
      </c>
      <c r="I4" s="9"/>
      <c r="J4" s="10"/>
      <c r="K4" s="9" t="s">
        <v>23</v>
      </c>
      <c r="L4" s="9" t="s">
        <v>600</v>
      </c>
    </row>
    <row r="5" spans="1:12" x14ac:dyDescent="0.25">
      <c r="A5" s="9" t="s">
        <v>306</v>
      </c>
      <c r="B5" s="9" t="s">
        <v>168</v>
      </c>
      <c r="C5" s="9" t="s">
        <v>203</v>
      </c>
      <c r="D5" s="9" t="s">
        <v>171</v>
      </c>
      <c r="E5" s="9" t="s">
        <v>308</v>
      </c>
      <c r="F5" s="9" t="s">
        <v>32</v>
      </c>
      <c r="G5" s="9" t="s">
        <v>307</v>
      </c>
      <c r="H5" s="10">
        <v>0.2</v>
      </c>
      <c r="I5" s="9" t="s">
        <v>145</v>
      </c>
      <c r="J5" s="10">
        <v>10</v>
      </c>
      <c r="K5" s="9" t="s">
        <v>23</v>
      </c>
      <c r="L5" s="9" t="s">
        <v>309</v>
      </c>
    </row>
    <row r="6" spans="1:12" x14ac:dyDescent="0.25">
      <c r="A6" s="9" t="s">
        <v>516</v>
      </c>
      <c r="B6" s="9" t="s">
        <v>168</v>
      </c>
      <c r="C6" s="9" t="s">
        <v>192</v>
      </c>
      <c r="D6" s="9" t="s">
        <v>171</v>
      </c>
      <c r="E6" s="9" t="s">
        <v>517</v>
      </c>
      <c r="F6" s="9" t="s">
        <v>35</v>
      </c>
      <c r="G6" s="9" t="s">
        <v>307</v>
      </c>
      <c r="H6" s="10">
        <v>0.2</v>
      </c>
      <c r="I6" s="9" t="s">
        <v>184</v>
      </c>
      <c r="J6" s="10">
        <v>4</v>
      </c>
      <c r="K6" s="9" t="s">
        <v>23</v>
      </c>
      <c r="L6" s="9" t="s">
        <v>518</v>
      </c>
    </row>
    <row r="7" spans="1:12" x14ac:dyDescent="0.25">
      <c r="A7" s="9" t="s">
        <v>360</v>
      </c>
      <c r="B7" s="9" t="s">
        <v>168</v>
      </c>
      <c r="C7" s="9" t="s">
        <v>192</v>
      </c>
      <c r="D7" s="9" t="s">
        <v>193</v>
      </c>
      <c r="E7" s="9" t="s">
        <v>362</v>
      </c>
      <c r="F7" s="9" t="s">
        <v>34</v>
      </c>
      <c r="G7" s="9" t="s">
        <v>361</v>
      </c>
      <c r="H7" s="10">
        <v>0.5</v>
      </c>
      <c r="I7" s="9" t="s">
        <v>94</v>
      </c>
      <c r="J7" s="10">
        <v>2</v>
      </c>
      <c r="K7" s="9" t="s">
        <v>23</v>
      </c>
      <c r="L7" s="9" t="s">
        <v>363</v>
      </c>
    </row>
    <row r="8" spans="1:12" x14ac:dyDescent="0.25">
      <c r="A8" s="9" t="s">
        <v>590</v>
      </c>
      <c r="B8" s="9" t="s">
        <v>168</v>
      </c>
      <c r="C8" s="9" t="s">
        <v>170</v>
      </c>
      <c r="D8" s="9" t="s">
        <v>290</v>
      </c>
      <c r="E8" s="9" t="s">
        <v>591</v>
      </c>
      <c r="F8" s="9" t="s">
        <v>31</v>
      </c>
      <c r="G8" s="9" t="s">
        <v>114</v>
      </c>
      <c r="H8" s="10">
        <v>1</v>
      </c>
      <c r="I8" s="9" t="s">
        <v>94</v>
      </c>
      <c r="J8" s="10">
        <v>2</v>
      </c>
      <c r="K8" s="9" t="s">
        <v>23</v>
      </c>
      <c r="L8" s="9" t="s">
        <v>592</v>
      </c>
    </row>
    <row r="9" spans="1:12" x14ac:dyDescent="0.25">
      <c r="A9" s="9" t="s">
        <v>609</v>
      </c>
      <c r="B9" s="9" t="s">
        <v>168</v>
      </c>
      <c r="C9" s="9" t="s">
        <v>192</v>
      </c>
      <c r="D9" s="9" t="s">
        <v>193</v>
      </c>
      <c r="E9" s="9" t="s">
        <v>610</v>
      </c>
      <c r="F9" s="9" t="s">
        <v>33</v>
      </c>
      <c r="G9" s="9" t="s">
        <v>114</v>
      </c>
      <c r="H9" s="10">
        <v>1</v>
      </c>
      <c r="I9" s="9" t="s">
        <v>191</v>
      </c>
      <c r="J9" s="10">
        <v>3</v>
      </c>
      <c r="K9" s="9" t="s">
        <v>23</v>
      </c>
      <c r="L9" s="9" t="s">
        <v>611</v>
      </c>
    </row>
    <row r="10" spans="1:12" x14ac:dyDescent="0.25">
      <c r="A10" s="9" t="s">
        <v>212</v>
      </c>
      <c r="B10" s="9" t="s">
        <v>168</v>
      </c>
      <c r="C10" s="9" t="s">
        <v>170</v>
      </c>
      <c r="D10" s="9" t="s">
        <v>193</v>
      </c>
      <c r="E10" s="9" t="s">
        <v>213</v>
      </c>
      <c r="F10" s="9" t="s">
        <v>31</v>
      </c>
      <c r="G10" s="9" t="s">
        <v>207</v>
      </c>
      <c r="H10" s="10">
        <v>2</v>
      </c>
      <c r="I10" s="9" t="s">
        <v>74</v>
      </c>
      <c r="J10" s="10">
        <v>1</v>
      </c>
      <c r="K10" s="9" t="s">
        <v>23</v>
      </c>
      <c r="L10" s="9" t="s">
        <v>214</v>
      </c>
    </row>
    <row r="11" spans="1:12" x14ac:dyDescent="0.25">
      <c r="A11" s="9" t="s">
        <v>396</v>
      </c>
      <c r="B11" s="9" t="s">
        <v>168</v>
      </c>
      <c r="C11" s="9" t="s">
        <v>170</v>
      </c>
      <c r="D11" s="9" t="s">
        <v>171</v>
      </c>
      <c r="E11" s="9" t="s">
        <v>397</v>
      </c>
      <c r="F11" s="9" t="s">
        <v>31</v>
      </c>
      <c r="G11" s="9" t="s">
        <v>207</v>
      </c>
      <c r="H11" s="10">
        <v>2</v>
      </c>
      <c r="I11" s="9" t="s">
        <v>94</v>
      </c>
      <c r="J11" s="10">
        <v>2</v>
      </c>
      <c r="K11" s="9" t="s">
        <v>23</v>
      </c>
      <c r="L11" s="9" t="s">
        <v>398</v>
      </c>
    </row>
    <row r="12" spans="1:12" x14ac:dyDescent="0.25">
      <c r="A12" s="9" t="s">
        <v>678</v>
      </c>
      <c r="B12" s="9" t="s">
        <v>275</v>
      </c>
      <c r="C12" s="9" t="s">
        <v>170</v>
      </c>
      <c r="D12" s="9" t="s">
        <v>290</v>
      </c>
      <c r="E12" s="9" t="s">
        <v>679</v>
      </c>
      <c r="F12" s="9" t="s">
        <v>34</v>
      </c>
      <c r="G12" s="9" t="s">
        <v>207</v>
      </c>
      <c r="H12" s="10">
        <v>2</v>
      </c>
      <c r="I12" s="9" t="s">
        <v>191</v>
      </c>
      <c r="J12" s="10">
        <v>3</v>
      </c>
      <c r="K12" s="9" t="s">
        <v>23</v>
      </c>
      <c r="L12" s="9" t="s">
        <v>680</v>
      </c>
    </row>
    <row r="13" spans="1:12" x14ac:dyDescent="0.25">
      <c r="A13" s="9" t="s">
        <v>328</v>
      </c>
      <c r="B13" s="9" t="s">
        <v>168</v>
      </c>
      <c r="C13" s="9" t="s">
        <v>192</v>
      </c>
      <c r="D13" s="9" t="s">
        <v>290</v>
      </c>
      <c r="E13" s="9" t="s">
        <v>329</v>
      </c>
      <c r="F13" s="9" t="s">
        <v>36</v>
      </c>
      <c r="G13" s="9" t="s">
        <v>144</v>
      </c>
      <c r="H13" s="10">
        <v>5</v>
      </c>
      <c r="I13" s="9" t="s">
        <v>94</v>
      </c>
      <c r="J13" s="10">
        <v>2</v>
      </c>
      <c r="K13" s="9" t="s">
        <v>23</v>
      </c>
      <c r="L13" s="9" t="s">
        <v>330</v>
      </c>
    </row>
    <row r="14" spans="1:12" x14ac:dyDescent="0.25">
      <c r="A14" s="9" t="s">
        <v>416</v>
      </c>
      <c r="B14" s="9" t="s">
        <v>168</v>
      </c>
      <c r="C14" s="9" t="s">
        <v>192</v>
      </c>
      <c r="D14" s="9" t="s">
        <v>171</v>
      </c>
      <c r="E14" s="9" t="s">
        <v>33</v>
      </c>
      <c r="F14" s="9" t="s">
        <v>33</v>
      </c>
      <c r="G14" s="9" t="s">
        <v>144</v>
      </c>
      <c r="H14" s="10">
        <v>5</v>
      </c>
      <c r="I14" s="9" t="s">
        <v>184</v>
      </c>
      <c r="J14" s="10">
        <v>4</v>
      </c>
      <c r="K14" s="9" t="s">
        <v>23</v>
      </c>
      <c r="L14" s="9" t="s">
        <v>417</v>
      </c>
    </row>
    <row r="15" spans="1:12" x14ac:dyDescent="0.25">
      <c r="A15" s="9" t="s">
        <v>483</v>
      </c>
      <c r="B15" s="9" t="s">
        <v>275</v>
      </c>
      <c r="C15" s="9" t="s">
        <v>198</v>
      </c>
      <c r="D15" s="9" t="s">
        <v>193</v>
      </c>
      <c r="E15" s="9" t="s">
        <v>484</v>
      </c>
      <c r="F15" s="9" t="s">
        <v>32</v>
      </c>
      <c r="G15" s="9" t="s">
        <v>144</v>
      </c>
      <c r="H15" s="10">
        <v>5</v>
      </c>
      <c r="I15" s="9" t="s">
        <v>197</v>
      </c>
      <c r="J15" s="10">
        <v>18</v>
      </c>
      <c r="K15" s="9" t="s">
        <v>23</v>
      </c>
      <c r="L15" s="9" t="s">
        <v>485</v>
      </c>
    </row>
    <row r="16" spans="1:12" x14ac:dyDescent="0.25">
      <c r="A16" s="9" t="s">
        <v>650</v>
      </c>
      <c r="B16" s="9" t="s">
        <v>275</v>
      </c>
      <c r="C16" s="9" t="s">
        <v>203</v>
      </c>
      <c r="D16" s="9" t="s">
        <v>193</v>
      </c>
      <c r="E16" s="9" t="s">
        <v>651</v>
      </c>
      <c r="F16" s="9" t="s">
        <v>35</v>
      </c>
      <c r="G16" s="9" t="s">
        <v>144</v>
      </c>
      <c r="H16" s="10">
        <v>5</v>
      </c>
      <c r="I16" s="9" t="s">
        <v>184</v>
      </c>
      <c r="J16" s="10">
        <v>4</v>
      </c>
      <c r="K16" s="9" t="s">
        <v>23</v>
      </c>
      <c r="L16" s="9" t="s">
        <v>652</v>
      </c>
    </row>
    <row r="17" spans="1:12" x14ac:dyDescent="0.25">
      <c r="A17" s="9" t="s">
        <v>662</v>
      </c>
      <c r="B17" s="9" t="s">
        <v>275</v>
      </c>
      <c r="C17" s="9" t="s">
        <v>203</v>
      </c>
      <c r="D17" s="9" t="s">
        <v>193</v>
      </c>
      <c r="E17" s="9" t="s">
        <v>663</v>
      </c>
      <c r="F17" s="9" t="s">
        <v>33</v>
      </c>
      <c r="G17" s="9" t="s">
        <v>144</v>
      </c>
      <c r="H17" s="10">
        <v>5</v>
      </c>
      <c r="I17" s="9" t="s">
        <v>94</v>
      </c>
      <c r="J17" s="10">
        <v>2</v>
      </c>
      <c r="K17" s="9" t="s">
        <v>23</v>
      </c>
      <c r="L17" s="9" t="s">
        <v>664</v>
      </c>
    </row>
    <row r="18" spans="1:12" x14ac:dyDescent="0.25">
      <c r="A18" s="9" t="s">
        <v>274</v>
      </c>
      <c r="B18" s="9" t="s">
        <v>275</v>
      </c>
      <c r="C18" s="9" t="s">
        <v>203</v>
      </c>
      <c r="D18" s="9" t="s">
        <v>171</v>
      </c>
      <c r="E18" s="9" t="s">
        <v>33</v>
      </c>
      <c r="F18" s="9" t="s">
        <v>33</v>
      </c>
      <c r="G18" s="9" t="s">
        <v>97</v>
      </c>
      <c r="H18" s="10">
        <v>10</v>
      </c>
      <c r="I18" s="9" t="s">
        <v>94</v>
      </c>
      <c r="J18" s="10">
        <v>2</v>
      </c>
      <c r="K18" s="9" t="s">
        <v>23</v>
      </c>
      <c r="L18" s="9" t="s">
        <v>276</v>
      </c>
    </row>
    <row r="19" spans="1:12" x14ac:dyDescent="0.25">
      <c r="A19" s="9" t="s">
        <v>375</v>
      </c>
      <c r="B19" s="9" t="s">
        <v>275</v>
      </c>
      <c r="C19" s="9" t="s">
        <v>198</v>
      </c>
      <c r="D19" s="9" t="s">
        <v>193</v>
      </c>
      <c r="E19" s="9" t="s">
        <v>376</v>
      </c>
      <c r="F19" s="9" t="s">
        <v>35</v>
      </c>
      <c r="G19" s="9" t="s">
        <v>97</v>
      </c>
      <c r="H19" s="10">
        <v>10</v>
      </c>
      <c r="I19" s="9" t="s">
        <v>128</v>
      </c>
      <c r="J19" s="10">
        <v>6</v>
      </c>
      <c r="K19" s="9" t="s">
        <v>23</v>
      </c>
      <c r="L19" s="9" t="s">
        <v>377</v>
      </c>
    </row>
    <row r="20" spans="1:12" x14ac:dyDescent="0.25">
      <c r="A20" s="9" t="s">
        <v>434</v>
      </c>
      <c r="B20" s="9" t="s">
        <v>275</v>
      </c>
      <c r="C20" s="9" t="s">
        <v>311</v>
      </c>
      <c r="D20" s="9" t="s">
        <v>171</v>
      </c>
      <c r="E20" s="9" t="s">
        <v>435</v>
      </c>
      <c r="F20" s="9" t="s">
        <v>35</v>
      </c>
      <c r="G20" s="9" t="s">
        <v>97</v>
      </c>
      <c r="H20" s="10">
        <v>10</v>
      </c>
      <c r="I20" s="9" t="s">
        <v>145</v>
      </c>
      <c r="J20" s="10">
        <v>10</v>
      </c>
      <c r="K20" s="9" t="s">
        <v>23</v>
      </c>
      <c r="L20" s="9" t="s">
        <v>436</v>
      </c>
    </row>
    <row r="21" spans="1:12" x14ac:dyDescent="0.25">
      <c r="A21" s="9" t="s">
        <v>581</v>
      </c>
      <c r="B21" s="9" t="s">
        <v>275</v>
      </c>
      <c r="C21" s="9" t="s">
        <v>192</v>
      </c>
      <c r="D21" s="9" t="s">
        <v>193</v>
      </c>
      <c r="E21" s="9" t="s">
        <v>582</v>
      </c>
      <c r="F21" s="9" t="s">
        <v>36</v>
      </c>
      <c r="G21" s="9" t="s">
        <v>97</v>
      </c>
      <c r="H21" s="10">
        <v>10</v>
      </c>
      <c r="I21" s="9" t="s">
        <v>94</v>
      </c>
      <c r="J21" s="10">
        <v>2</v>
      </c>
      <c r="K21" s="9" t="s">
        <v>23</v>
      </c>
      <c r="L21" s="9" t="s">
        <v>583</v>
      </c>
    </row>
    <row r="22" spans="1:12" x14ac:dyDescent="0.25">
      <c r="A22" s="9" t="s">
        <v>411</v>
      </c>
      <c r="B22" s="9" t="s">
        <v>275</v>
      </c>
      <c r="C22" s="9" t="s">
        <v>203</v>
      </c>
      <c r="D22" s="9" t="s">
        <v>290</v>
      </c>
      <c r="E22" s="9" t="s">
        <v>412</v>
      </c>
      <c r="F22" s="9" t="s">
        <v>33</v>
      </c>
      <c r="G22" s="9" t="s">
        <v>139</v>
      </c>
      <c r="H22" s="10">
        <v>15</v>
      </c>
      <c r="I22" s="9" t="s">
        <v>191</v>
      </c>
      <c r="J22" s="10">
        <v>3</v>
      </c>
      <c r="K22" s="9" t="s">
        <v>23</v>
      </c>
      <c r="L22" s="9" t="s">
        <v>413</v>
      </c>
    </row>
    <row r="23" spans="1:12" x14ac:dyDescent="0.25">
      <c r="A23" s="9" t="s">
        <v>446</v>
      </c>
      <c r="B23" s="9" t="s">
        <v>275</v>
      </c>
      <c r="C23" s="9" t="s">
        <v>203</v>
      </c>
      <c r="D23" s="9" t="s">
        <v>193</v>
      </c>
      <c r="E23" s="9" t="s">
        <v>33</v>
      </c>
      <c r="F23" s="9" t="s">
        <v>33</v>
      </c>
      <c r="G23" s="9" t="s">
        <v>139</v>
      </c>
      <c r="H23" s="10">
        <v>15</v>
      </c>
      <c r="I23" s="9" t="s">
        <v>184</v>
      </c>
      <c r="J23" s="10">
        <v>4</v>
      </c>
      <c r="K23" s="9" t="s">
        <v>23</v>
      </c>
      <c r="L23" s="9" t="s">
        <v>447</v>
      </c>
    </row>
    <row r="24" spans="1:12" x14ac:dyDescent="0.25">
      <c r="A24" s="9" t="s">
        <v>665</v>
      </c>
      <c r="B24" s="9" t="s">
        <v>275</v>
      </c>
      <c r="C24" s="9" t="s">
        <v>203</v>
      </c>
      <c r="D24" s="9" t="s">
        <v>171</v>
      </c>
      <c r="E24" s="9" t="s">
        <v>666</v>
      </c>
      <c r="F24" s="9" t="s">
        <v>32</v>
      </c>
      <c r="G24" s="9" t="s">
        <v>139</v>
      </c>
      <c r="H24" s="10">
        <v>15</v>
      </c>
      <c r="I24" s="9" t="s">
        <v>78</v>
      </c>
      <c r="J24" s="10">
        <v>5</v>
      </c>
      <c r="K24" s="9" t="s">
        <v>23</v>
      </c>
      <c r="L24" s="9" t="s">
        <v>667</v>
      </c>
    </row>
    <row r="25" spans="1:12" x14ac:dyDescent="0.25">
      <c r="A25" s="9" t="s">
        <v>289</v>
      </c>
      <c r="B25" s="9" t="s">
        <v>275</v>
      </c>
      <c r="C25" s="9" t="s">
        <v>198</v>
      </c>
      <c r="D25" s="9" t="s">
        <v>290</v>
      </c>
      <c r="E25" s="9" t="s">
        <v>291</v>
      </c>
      <c r="F25" s="9" t="s">
        <v>30</v>
      </c>
      <c r="G25" s="9" t="s">
        <v>89</v>
      </c>
      <c r="H25" s="10">
        <v>20</v>
      </c>
      <c r="I25" s="9" t="s">
        <v>128</v>
      </c>
      <c r="J25" s="10">
        <v>6</v>
      </c>
      <c r="K25" s="9" t="s">
        <v>23</v>
      </c>
      <c r="L25" s="9" t="s">
        <v>293</v>
      </c>
    </row>
    <row r="26" spans="1:12" x14ac:dyDescent="0.25">
      <c r="A26" s="9" t="s">
        <v>321</v>
      </c>
      <c r="B26" s="9" t="s">
        <v>275</v>
      </c>
      <c r="C26" s="9" t="s">
        <v>198</v>
      </c>
      <c r="D26" s="9" t="s">
        <v>290</v>
      </c>
      <c r="E26" s="9" t="s">
        <v>322</v>
      </c>
      <c r="F26" s="9" t="s">
        <v>29</v>
      </c>
      <c r="G26" s="9" t="s">
        <v>89</v>
      </c>
      <c r="H26" s="10">
        <v>20</v>
      </c>
      <c r="I26" s="9" t="s">
        <v>128</v>
      </c>
      <c r="J26" s="10">
        <v>6</v>
      </c>
      <c r="K26" s="9" t="s">
        <v>23</v>
      </c>
      <c r="L26" s="9" t="s">
        <v>323</v>
      </c>
    </row>
    <row r="27" spans="1:12" x14ac:dyDescent="0.25">
      <c r="A27" s="9" t="s">
        <v>201</v>
      </c>
      <c r="B27" s="9" t="s">
        <v>202</v>
      </c>
      <c r="C27" s="9" t="s">
        <v>203</v>
      </c>
      <c r="D27" s="9" t="s">
        <v>193</v>
      </c>
      <c r="E27" s="9" t="s">
        <v>204</v>
      </c>
      <c r="F27" s="9" t="s">
        <v>34</v>
      </c>
      <c r="G27" s="9" t="s">
        <v>77</v>
      </c>
      <c r="H27" s="10">
        <v>25</v>
      </c>
      <c r="I27" s="9" t="s">
        <v>78</v>
      </c>
      <c r="J27" s="10">
        <v>5</v>
      </c>
      <c r="K27" s="9" t="s">
        <v>23</v>
      </c>
      <c r="L27" s="9" t="s">
        <v>205</v>
      </c>
    </row>
    <row r="28" spans="1:12" x14ac:dyDescent="0.25">
      <c r="A28" s="9" t="s">
        <v>521</v>
      </c>
      <c r="B28" s="9" t="s">
        <v>275</v>
      </c>
      <c r="C28" s="9" t="s">
        <v>203</v>
      </c>
      <c r="D28" s="9" t="s">
        <v>193</v>
      </c>
      <c r="E28" s="9" t="s">
        <v>522</v>
      </c>
      <c r="F28" s="9" t="s">
        <v>36</v>
      </c>
      <c r="G28" s="9" t="s">
        <v>77</v>
      </c>
      <c r="H28" s="10">
        <v>25</v>
      </c>
      <c r="I28" s="9" t="s">
        <v>94</v>
      </c>
      <c r="J28" s="10">
        <v>2</v>
      </c>
      <c r="K28" s="9" t="s">
        <v>23</v>
      </c>
      <c r="L28" s="9" t="s">
        <v>523</v>
      </c>
    </row>
    <row r="29" spans="1:12" x14ac:dyDescent="0.25">
      <c r="A29" s="9" t="s">
        <v>566</v>
      </c>
      <c r="B29" s="9" t="s">
        <v>275</v>
      </c>
      <c r="C29" s="9" t="s">
        <v>192</v>
      </c>
      <c r="D29" s="9" t="s">
        <v>290</v>
      </c>
      <c r="E29" s="9" t="s">
        <v>567</v>
      </c>
      <c r="F29" s="9" t="s">
        <v>31</v>
      </c>
      <c r="G29" s="9" t="s">
        <v>77</v>
      </c>
      <c r="H29" s="10">
        <v>25</v>
      </c>
      <c r="I29" s="9" t="s">
        <v>191</v>
      </c>
      <c r="J29" s="10">
        <v>3</v>
      </c>
      <c r="K29" s="9" t="s">
        <v>23</v>
      </c>
      <c r="L29" s="9" t="s">
        <v>568</v>
      </c>
    </row>
    <row r="30" spans="1:12" x14ac:dyDescent="0.25">
      <c r="A30" s="9" t="s">
        <v>578</v>
      </c>
      <c r="B30" s="9" t="s">
        <v>202</v>
      </c>
      <c r="C30" s="9" t="s">
        <v>192</v>
      </c>
      <c r="D30" s="9" t="s">
        <v>193</v>
      </c>
      <c r="E30" s="9" t="s">
        <v>579</v>
      </c>
      <c r="F30" s="9" t="s">
        <v>36</v>
      </c>
      <c r="G30" s="9" t="s">
        <v>77</v>
      </c>
      <c r="H30" s="10">
        <v>25</v>
      </c>
      <c r="I30" s="9" t="s">
        <v>94</v>
      </c>
      <c r="J30" s="10">
        <v>2</v>
      </c>
      <c r="K30" s="9" t="s">
        <v>23</v>
      </c>
      <c r="L30" s="9" t="s">
        <v>580</v>
      </c>
    </row>
    <row r="31" spans="1:12" x14ac:dyDescent="0.25">
      <c r="A31" s="9" t="s">
        <v>301</v>
      </c>
      <c r="B31" s="9" t="s">
        <v>275</v>
      </c>
      <c r="C31" s="9" t="s">
        <v>303</v>
      </c>
      <c r="D31" s="9" t="s">
        <v>290</v>
      </c>
      <c r="E31" s="9" t="s">
        <v>304</v>
      </c>
      <c r="F31" s="9" t="s">
        <v>29</v>
      </c>
      <c r="G31" s="9" t="s">
        <v>297</v>
      </c>
      <c r="H31" s="10">
        <v>30</v>
      </c>
      <c r="I31" s="9" t="s">
        <v>302</v>
      </c>
      <c r="J31" s="10">
        <v>7</v>
      </c>
      <c r="K31" s="9" t="s">
        <v>23</v>
      </c>
      <c r="L31" s="9" t="s">
        <v>305</v>
      </c>
    </row>
    <row r="32" spans="1:12" x14ac:dyDescent="0.25">
      <c r="A32" s="9" t="s">
        <v>196</v>
      </c>
      <c r="B32" s="9" t="s">
        <v>190</v>
      </c>
      <c r="C32" s="9" t="s">
        <v>198</v>
      </c>
      <c r="D32" s="9" t="s">
        <v>193</v>
      </c>
      <c r="E32" s="9" t="s">
        <v>199</v>
      </c>
      <c r="F32" s="9" t="s">
        <v>32</v>
      </c>
      <c r="G32" s="9" t="s">
        <v>119</v>
      </c>
      <c r="H32" s="10">
        <v>50</v>
      </c>
      <c r="I32" s="9" t="s">
        <v>197</v>
      </c>
      <c r="J32" s="10">
        <v>18</v>
      </c>
      <c r="K32" s="9" t="s">
        <v>23</v>
      </c>
      <c r="L32" s="9" t="s">
        <v>200</v>
      </c>
    </row>
    <row r="33" spans="1:12" x14ac:dyDescent="0.25">
      <c r="A33" s="9" t="s">
        <v>310</v>
      </c>
      <c r="B33" s="9" t="s">
        <v>275</v>
      </c>
      <c r="C33" s="9" t="s">
        <v>311</v>
      </c>
      <c r="D33" s="9" t="s">
        <v>290</v>
      </c>
      <c r="E33" s="9" t="s">
        <v>312</v>
      </c>
      <c r="F33" s="9" t="s">
        <v>30</v>
      </c>
      <c r="G33" s="9" t="s">
        <v>119</v>
      </c>
      <c r="H33" s="10">
        <v>50</v>
      </c>
      <c r="I33" s="9" t="s">
        <v>128</v>
      </c>
      <c r="J33" s="10">
        <v>6</v>
      </c>
      <c r="K33" s="9" t="s">
        <v>23</v>
      </c>
      <c r="L33" s="9" t="s">
        <v>313</v>
      </c>
    </row>
    <row r="34" spans="1:12" x14ac:dyDescent="0.25">
      <c r="A34" s="9" t="s">
        <v>405</v>
      </c>
      <c r="B34" s="9" t="s">
        <v>190</v>
      </c>
      <c r="C34" s="9" t="s">
        <v>203</v>
      </c>
      <c r="D34" s="9" t="s">
        <v>193</v>
      </c>
      <c r="E34" s="9" t="s">
        <v>406</v>
      </c>
      <c r="F34" s="9" t="s">
        <v>34</v>
      </c>
      <c r="G34" s="9" t="s">
        <v>119</v>
      </c>
      <c r="H34" s="10">
        <v>50</v>
      </c>
      <c r="I34" s="9" t="s">
        <v>94</v>
      </c>
      <c r="J34" s="10">
        <v>2</v>
      </c>
      <c r="K34" s="9" t="s">
        <v>23</v>
      </c>
      <c r="L34" s="9" t="s">
        <v>407</v>
      </c>
    </row>
    <row r="35" spans="1:12" x14ac:dyDescent="0.25">
      <c r="A35" s="9" t="s">
        <v>189</v>
      </c>
      <c r="B35" s="9" t="s">
        <v>190</v>
      </c>
      <c r="C35" s="9" t="s">
        <v>192</v>
      </c>
      <c r="D35" s="9" t="s">
        <v>193</v>
      </c>
      <c r="E35" s="9" t="s">
        <v>194</v>
      </c>
      <c r="F35" s="9" t="s">
        <v>36</v>
      </c>
      <c r="G35" s="9" t="s">
        <v>149</v>
      </c>
      <c r="H35" s="10">
        <v>75</v>
      </c>
      <c r="I35" s="9" t="s">
        <v>191</v>
      </c>
      <c r="J35" s="10">
        <v>3</v>
      </c>
      <c r="K35" s="9" t="s">
        <v>23</v>
      </c>
      <c r="L35" s="9" t="s">
        <v>195</v>
      </c>
    </row>
    <row r="36" spans="1:12" x14ac:dyDescent="0.25">
      <c r="A36" s="9" t="s">
        <v>486</v>
      </c>
      <c r="B36" s="9" t="s">
        <v>190</v>
      </c>
      <c r="C36" s="9" t="s">
        <v>198</v>
      </c>
      <c r="D36" s="9" t="s">
        <v>193</v>
      </c>
      <c r="E36" s="9" t="s">
        <v>487</v>
      </c>
      <c r="F36" s="9" t="s">
        <v>36</v>
      </c>
      <c r="G36" s="9" t="s">
        <v>159</v>
      </c>
      <c r="H36" s="10">
        <v>250</v>
      </c>
      <c r="I36" s="9" t="s">
        <v>191</v>
      </c>
      <c r="J36" s="10">
        <v>3</v>
      </c>
      <c r="K36" s="9" t="s">
        <v>25</v>
      </c>
      <c r="L36" s="9" t="s">
        <v>488</v>
      </c>
    </row>
    <row r="37" spans="1:12" x14ac:dyDescent="0.25">
      <c r="A37" s="9" t="s">
        <v>450</v>
      </c>
      <c r="B37" s="9" t="s">
        <v>190</v>
      </c>
      <c r="C37" s="9" t="s">
        <v>303</v>
      </c>
      <c r="D37" s="9" t="s">
        <v>193</v>
      </c>
      <c r="E37" s="9" t="s">
        <v>451</v>
      </c>
      <c r="F37" s="9" t="s">
        <v>34</v>
      </c>
      <c r="G37" s="9" t="s">
        <v>108</v>
      </c>
      <c r="H37" s="10">
        <v>500</v>
      </c>
      <c r="I37" s="9" t="s">
        <v>145</v>
      </c>
      <c r="J37" s="10">
        <v>10</v>
      </c>
      <c r="K37" s="9" t="s">
        <v>25</v>
      </c>
      <c r="L37" s="9" t="s">
        <v>452</v>
      </c>
    </row>
    <row r="38" spans="1:12" x14ac:dyDescent="0.25">
      <c r="A38" s="9" t="s">
        <v>378</v>
      </c>
      <c r="B38" s="9" t="s">
        <v>379</v>
      </c>
      <c r="C38" s="9" t="s">
        <v>380</v>
      </c>
      <c r="D38" s="9" t="s">
        <v>381</v>
      </c>
      <c r="E38" s="9" t="s">
        <v>382</v>
      </c>
      <c r="F38" s="9" t="s">
        <v>36</v>
      </c>
      <c r="G38" s="9"/>
      <c r="H38" s="10"/>
      <c r="I38" s="9" t="s">
        <v>94</v>
      </c>
      <c r="J38" s="10">
        <v>2</v>
      </c>
      <c r="K38" s="9" t="s">
        <v>24</v>
      </c>
      <c r="L38" s="9" t="s">
        <v>384</v>
      </c>
    </row>
    <row r="39" spans="1:12" x14ac:dyDescent="0.25">
      <c r="A39" s="9" t="s">
        <v>385</v>
      </c>
      <c r="B39" s="9" t="s">
        <v>379</v>
      </c>
      <c r="C39" s="9" t="s">
        <v>386</v>
      </c>
      <c r="D39" s="9" t="s">
        <v>381</v>
      </c>
      <c r="E39" s="9" t="s">
        <v>387</v>
      </c>
      <c r="F39" s="9" t="s">
        <v>34</v>
      </c>
      <c r="G39" s="9"/>
      <c r="H39" s="10"/>
      <c r="I39" s="9" t="s">
        <v>302</v>
      </c>
      <c r="J39" s="10">
        <v>7</v>
      </c>
      <c r="K39" s="9" t="s">
        <v>24</v>
      </c>
      <c r="L39" s="9" t="s">
        <v>389</v>
      </c>
    </row>
    <row r="40" spans="1:12" x14ac:dyDescent="0.25">
      <c r="A40" s="9" t="s">
        <v>528</v>
      </c>
      <c r="B40" s="9" t="s">
        <v>379</v>
      </c>
      <c r="C40" s="9" t="s">
        <v>529</v>
      </c>
      <c r="D40" s="9" t="s">
        <v>193</v>
      </c>
      <c r="E40" s="9" t="s">
        <v>530</v>
      </c>
      <c r="F40" s="9" t="s">
        <v>33</v>
      </c>
      <c r="G40" s="9"/>
      <c r="H40" s="10"/>
      <c r="I40" s="9" t="s">
        <v>191</v>
      </c>
      <c r="J40" s="10">
        <v>3</v>
      </c>
      <c r="K40" s="9" t="s">
        <v>24</v>
      </c>
      <c r="L40" s="9" t="s">
        <v>532</v>
      </c>
    </row>
    <row r="41" spans="1:12" x14ac:dyDescent="0.25">
      <c r="A41" s="9" t="s">
        <v>537</v>
      </c>
      <c r="B41" s="9" t="s">
        <v>379</v>
      </c>
      <c r="C41" s="9" t="s">
        <v>529</v>
      </c>
      <c r="D41" s="9" t="s">
        <v>193</v>
      </c>
      <c r="E41" s="9" t="s">
        <v>538</v>
      </c>
      <c r="F41" s="9" t="s">
        <v>34</v>
      </c>
      <c r="G41" s="9"/>
      <c r="H41" s="10"/>
      <c r="I41" s="9" t="s">
        <v>181</v>
      </c>
      <c r="J41" s="10">
        <v>8</v>
      </c>
      <c r="K41" s="9" t="s">
        <v>24</v>
      </c>
      <c r="L41" s="9" t="s">
        <v>389</v>
      </c>
    </row>
    <row r="42" spans="1:12" x14ac:dyDescent="0.25">
      <c r="A42" s="9" t="s">
        <v>539</v>
      </c>
      <c r="B42" s="9" t="s">
        <v>379</v>
      </c>
      <c r="C42" s="9" t="s">
        <v>540</v>
      </c>
      <c r="D42" s="9" t="s">
        <v>193</v>
      </c>
      <c r="E42" s="9" t="s">
        <v>541</v>
      </c>
      <c r="F42" s="9" t="s">
        <v>34</v>
      </c>
      <c r="G42" s="9"/>
      <c r="H42" s="10"/>
      <c r="I42" s="9" t="s">
        <v>181</v>
      </c>
      <c r="J42" s="10">
        <v>8</v>
      </c>
      <c r="K42" s="9" t="s">
        <v>24</v>
      </c>
      <c r="L42" s="9" t="s">
        <v>543</v>
      </c>
    </row>
    <row r="43" spans="1:12" x14ac:dyDescent="0.25">
      <c r="A43" s="9" t="s">
        <v>569</v>
      </c>
      <c r="B43" s="9" t="s">
        <v>379</v>
      </c>
      <c r="C43" s="9" t="s">
        <v>311</v>
      </c>
      <c r="D43" s="9" t="s">
        <v>193</v>
      </c>
      <c r="E43" s="9" t="s">
        <v>570</v>
      </c>
      <c r="F43" s="9" t="s">
        <v>36</v>
      </c>
      <c r="G43" s="9"/>
      <c r="H43" s="10"/>
      <c r="I43" s="9" t="s">
        <v>191</v>
      </c>
      <c r="J43" s="10">
        <v>3</v>
      </c>
      <c r="K43" s="9" t="s">
        <v>24</v>
      </c>
      <c r="L43" s="9" t="s">
        <v>571</v>
      </c>
    </row>
    <row r="44" spans="1:12" x14ac:dyDescent="0.25">
      <c r="A44" s="9" t="s">
        <v>584</v>
      </c>
      <c r="B44" s="9" t="s">
        <v>379</v>
      </c>
      <c r="C44" s="9" t="s">
        <v>529</v>
      </c>
      <c r="D44" s="9" t="s">
        <v>193</v>
      </c>
      <c r="E44" s="9" t="s">
        <v>585</v>
      </c>
      <c r="F44" s="9" t="s">
        <v>32</v>
      </c>
      <c r="G44" s="9"/>
      <c r="H44" s="10"/>
      <c r="I44" s="9" t="s">
        <v>302</v>
      </c>
      <c r="J44" s="10">
        <v>7</v>
      </c>
      <c r="K44" s="9" t="s">
        <v>24</v>
      </c>
      <c r="L44" s="9" t="s">
        <v>587</v>
      </c>
    </row>
  </sheetData>
  <autoFilter ref="A1:L44" xr:uid="{00000000-0009-0000-0000-000002000000}">
    <sortState xmlns:xlrd2="http://schemas.microsoft.com/office/spreadsheetml/2017/richdata2" ref="A2:L44">
      <sortCondition ref="H1:H44"/>
    </sortState>
  </autoFilter>
  <pageMargins left="0.75" right="0.75" top="1" bottom="1" header="0.511811023622047" footer="0.511811023622047"/>
  <pageSetup paperSize="9" orientation="portrait" horizontalDpi="300" verticalDpi="300"/>
  <headerFooter>
    <oddFooter>&amp;L_x000D_&amp;1#&amp;"Arial"&amp;8&amp;K737373 Classified by Alfa Laval as: Business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zoomScaleNormal="100" workbookViewId="0">
      <pane xSplit="1" ySplit="1" topLeftCell="B2" activePane="bottomRight" state="frozen"/>
      <selection pane="topRight" activeCell="B1" sqref="B1"/>
      <selection pane="bottomLeft" activeCell="A2" sqref="A2"/>
      <selection pane="bottomRight" activeCell="I22" sqref="I22"/>
    </sheetView>
  </sheetViews>
  <sheetFormatPr defaultColWidth="8.7109375" defaultRowHeight="15" x14ac:dyDescent="0.25"/>
  <cols>
    <col min="1" max="1" width="24" customWidth="1"/>
    <col min="2" max="2" width="22" customWidth="1"/>
    <col min="3" max="3" width="24" customWidth="1"/>
    <col min="4" max="4" width="11" customWidth="1"/>
    <col min="5" max="5" width="13" customWidth="1"/>
    <col min="6" max="9" width="11" customWidth="1"/>
    <col min="10" max="10" width="24" customWidth="1"/>
    <col min="11" max="11" width="90" customWidth="1"/>
  </cols>
  <sheetData>
    <row r="1" spans="1:11" x14ac:dyDescent="0.25">
      <c r="A1" s="8" t="s">
        <v>56</v>
      </c>
      <c r="B1" s="8" t="s">
        <v>57</v>
      </c>
      <c r="C1" s="8" t="s">
        <v>65</v>
      </c>
      <c r="D1" s="8" t="s">
        <v>66</v>
      </c>
      <c r="E1" s="8" t="s">
        <v>67</v>
      </c>
      <c r="F1" s="8" t="s">
        <v>58</v>
      </c>
      <c r="G1" s="8" t="s">
        <v>59</v>
      </c>
      <c r="H1" s="8" t="s">
        <v>60</v>
      </c>
      <c r="I1" s="8" t="s">
        <v>61</v>
      </c>
      <c r="J1" s="8" t="s">
        <v>22</v>
      </c>
      <c r="K1" s="8" t="s">
        <v>70</v>
      </c>
    </row>
    <row r="2" spans="1:11" x14ac:dyDescent="0.25">
      <c r="A2" s="9" t="s">
        <v>81</v>
      </c>
      <c r="B2" s="9" t="s">
        <v>82</v>
      </c>
      <c r="C2" s="9" t="s">
        <v>85</v>
      </c>
      <c r="D2" s="9"/>
      <c r="E2" s="9"/>
      <c r="F2" s="9" t="s">
        <v>83</v>
      </c>
      <c r="G2" s="10">
        <v>400</v>
      </c>
      <c r="H2" s="9" t="s">
        <v>84</v>
      </c>
      <c r="I2" s="10">
        <v>20</v>
      </c>
      <c r="J2" s="9" t="s">
        <v>23</v>
      </c>
      <c r="K2" s="9" t="s">
        <v>86</v>
      </c>
    </row>
    <row r="3" spans="1:11" x14ac:dyDescent="0.25">
      <c r="A3" s="9" t="s">
        <v>147</v>
      </c>
      <c r="B3" s="9" t="s">
        <v>148</v>
      </c>
      <c r="C3" s="9" t="s">
        <v>151</v>
      </c>
      <c r="D3" s="9" t="s">
        <v>152</v>
      </c>
      <c r="E3" s="9" t="s">
        <v>153</v>
      </c>
      <c r="F3" s="9" t="s">
        <v>149</v>
      </c>
      <c r="G3" s="10">
        <v>75</v>
      </c>
      <c r="H3" s="9" t="s">
        <v>150</v>
      </c>
      <c r="I3" s="10">
        <v>55</v>
      </c>
      <c r="J3" s="9" t="s">
        <v>23</v>
      </c>
      <c r="K3" s="9" t="s">
        <v>154</v>
      </c>
    </row>
    <row r="4" spans="1:11" x14ac:dyDescent="0.25">
      <c r="A4" s="9" t="s">
        <v>155</v>
      </c>
      <c r="B4" s="9" t="s">
        <v>82</v>
      </c>
      <c r="C4" s="9" t="s">
        <v>156</v>
      </c>
      <c r="D4" s="9"/>
      <c r="E4" s="9"/>
      <c r="F4" s="9" t="s">
        <v>119</v>
      </c>
      <c r="G4" s="10">
        <v>50</v>
      </c>
      <c r="H4" s="9" t="s">
        <v>84</v>
      </c>
      <c r="I4" s="10">
        <v>20</v>
      </c>
      <c r="J4" s="9" t="s">
        <v>23</v>
      </c>
      <c r="K4" s="9" t="s">
        <v>157</v>
      </c>
    </row>
    <row r="5" spans="1:11" x14ac:dyDescent="0.25">
      <c r="A5" s="9" t="s">
        <v>324</v>
      </c>
      <c r="B5" s="9" t="s">
        <v>82</v>
      </c>
      <c r="C5" s="9" t="s">
        <v>326</v>
      </c>
      <c r="D5" s="9"/>
      <c r="E5" s="9" t="s">
        <v>153</v>
      </c>
      <c r="F5" s="9" t="s">
        <v>325</v>
      </c>
      <c r="G5" s="10">
        <v>750</v>
      </c>
      <c r="H5" s="9" t="s">
        <v>261</v>
      </c>
      <c r="I5" s="10">
        <v>40</v>
      </c>
      <c r="J5" s="9" t="s">
        <v>23</v>
      </c>
      <c r="K5" s="9" t="s">
        <v>327</v>
      </c>
    </row>
    <row r="6" spans="1:11" x14ac:dyDescent="0.25">
      <c r="A6" s="9" t="s">
        <v>337</v>
      </c>
      <c r="B6" s="9" t="s">
        <v>82</v>
      </c>
      <c r="C6" s="9" t="s">
        <v>338</v>
      </c>
      <c r="D6" s="9"/>
      <c r="E6" s="9"/>
      <c r="F6" s="9" t="s">
        <v>97</v>
      </c>
      <c r="G6" s="10">
        <v>10</v>
      </c>
      <c r="H6" s="9" t="s">
        <v>165</v>
      </c>
      <c r="I6" s="10">
        <v>12</v>
      </c>
      <c r="J6" s="9" t="s">
        <v>23</v>
      </c>
      <c r="K6" s="9" t="s">
        <v>339</v>
      </c>
    </row>
    <row r="7" spans="1:11" x14ac:dyDescent="0.25">
      <c r="A7" s="9" t="s">
        <v>390</v>
      </c>
      <c r="B7" s="9" t="s">
        <v>391</v>
      </c>
      <c r="C7" s="9" t="s">
        <v>392</v>
      </c>
      <c r="D7" s="9"/>
      <c r="E7" s="9"/>
      <c r="F7" s="9" t="s">
        <v>97</v>
      </c>
      <c r="G7" s="10">
        <v>10</v>
      </c>
      <c r="H7" s="9" t="s">
        <v>145</v>
      </c>
      <c r="I7" s="10">
        <v>10</v>
      </c>
      <c r="J7" s="9" t="s">
        <v>23</v>
      </c>
      <c r="K7" s="9" t="s">
        <v>393</v>
      </c>
    </row>
    <row r="8" spans="1:11" x14ac:dyDescent="0.25">
      <c r="A8" s="9" t="s">
        <v>469</v>
      </c>
      <c r="B8" s="9" t="s">
        <v>391</v>
      </c>
      <c r="C8" s="9" t="s">
        <v>392</v>
      </c>
      <c r="D8" s="9"/>
      <c r="E8" s="9" t="s">
        <v>153</v>
      </c>
      <c r="F8" s="9" t="s">
        <v>144</v>
      </c>
      <c r="G8" s="10">
        <v>5</v>
      </c>
      <c r="H8" s="9" t="s">
        <v>181</v>
      </c>
      <c r="I8" s="10">
        <v>8</v>
      </c>
      <c r="J8" s="9" t="s">
        <v>23</v>
      </c>
      <c r="K8" s="9" t="s">
        <v>470</v>
      </c>
    </row>
    <row r="9" spans="1:11" x14ac:dyDescent="0.25">
      <c r="A9" s="9" t="s">
        <v>489</v>
      </c>
      <c r="B9" s="9" t="s">
        <v>148</v>
      </c>
      <c r="C9" s="9" t="s">
        <v>491</v>
      </c>
      <c r="D9" s="9" t="s">
        <v>492</v>
      </c>
      <c r="E9" s="9" t="s">
        <v>153</v>
      </c>
      <c r="F9" s="9" t="s">
        <v>438</v>
      </c>
      <c r="G9" s="10">
        <v>1500</v>
      </c>
      <c r="H9" s="9" t="s">
        <v>490</v>
      </c>
      <c r="I9" s="10">
        <v>65</v>
      </c>
      <c r="J9" s="9" t="s">
        <v>23</v>
      </c>
      <c r="K9" s="9" t="s">
        <v>493</v>
      </c>
    </row>
    <row r="10" spans="1:11" x14ac:dyDescent="0.25">
      <c r="A10" s="9" t="s">
        <v>544</v>
      </c>
      <c r="B10" s="9" t="s">
        <v>148</v>
      </c>
      <c r="C10" s="9" t="s">
        <v>545</v>
      </c>
      <c r="D10" s="9"/>
      <c r="E10" s="9" t="s">
        <v>153</v>
      </c>
      <c r="F10" s="9" t="s">
        <v>297</v>
      </c>
      <c r="G10" s="10">
        <v>30</v>
      </c>
      <c r="H10" s="9" t="s">
        <v>261</v>
      </c>
      <c r="I10" s="10">
        <v>40</v>
      </c>
      <c r="J10" s="9" t="s">
        <v>23</v>
      </c>
      <c r="K10" s="9" t="s">
        <v>546</v>
      </c>
    </row>
    <row r="11" spans="1:11" x14ac:dyDescent="0.25">
      <c r="A11" s="9" t="s">
        <v>559</v>
      </c>
      <c r="B11" s="9" t="s">
        <v>82</v>
      </c>
      <c r="C11" s="9" t="s">
        <v>85</v>
      </c>
      <c r="D11" s="9"/>
      <c r="E11" s="9" t="s">
        <v>153</v>
      </c>
      <c r="F11" s="9" t="s">
        <v>119</v>
      </c>
      <c r="G11" s="10">
        <v>50</v>
      </c>
      <c r="H11" s="9" t="s">
        <v>560</v>
      </c>
      <c r="I11" s="10">
        <v>45</v>
      </c>
      <c r="J11" s="9" t="s">
        <v>23</v>
      </c>
      <c r="K11" s="9" t="s">
        <v>561</v>
      </c>
    </row>
    <row r="12" spans="1:11" x14ac:dyDescent="0.25">
      <c r="A12" s="9" t="s">
        <v>575</v>
      </c>
      <c r="B12" s="9" t="s">
        <v>575</v>
      </c>
      <c r="C12" s="9" t="s">
        <v>576</v>
      </c>
      <c r="D12" s="9"/>
      <c r="E12" s="9"/>
      <c r="F12" s="9" t="s">
        <v>97</v>
      </c>
      <c r="G12" s="10">
        <v>10</v>
      </c>
      <c r="H12" s="9" t="s">
        <v>128</v>
      </c>
      <c r="I12" s="10">
        <v>6</v>
      </c>
      <c r="J12" s="9" t="s">
        <v>23</v>
      </c>
      <c r="K12" s="9" t="s">
        <v>577</v>
      </c>
    </row>
    <row r="13" spans="1:11" x14ac:dyDescent="0.25">
      <c r="A13" s="9" t="s">
        <v>612</v>
      </c>
      <c r="B13" s="9" t="s">
        <v>82</v>
      </c>
      <c r="C13" s="9" t="s">
        <v>85</v>
      </c>
      <c r="D13" s="9"/>
      <c r="E13" s="9" t="s">
        <v>153</v>
      </c>
      <c r="F13" s="9" t="s">
        <v>149</v>
      </c>
      <c r="G13" s="10">
        <v>75</v>
      </c>
      <c r="H13" s="9" t="s">
        <v>560</v>
      </c>
      <c r="I13" s="10">
        <v>45</v>
      </c>
      <c r="J13" s="9" t="s">
        <v>23</v>
      </c>
      <c r="K13" s="9" t="s">
        <v>614</v>
      </c>
    </row>
    <row r="14" spans="1:11" x14ac:dyDescent="0.25">
      <c r="A14" s="9" t="s">
        <v>615</v>
      </c>
      <c r="B14" s="9" t="s">
        <v>148</v>
      </c>
      <c r="C14" s="9" t="s">
        <v>617</v>
      </c>
      <c r="D14" s="9" t="s">
        <v>492</v>
      </c>
      <c r="E14" s="9" t="s">
        <v>153</v>
      </c>
      <c r="F14" s="9" t="s">
        <v>135</v>
      </c>
      <c r="G14" s="10">
        <v>200</v>
      </c>
      <c r="H14" s="9" t="s">
        <v>616</v>
      </c>
      <c r="I14" s="10">
        <v>60</v>
      </c>
      <c r="J14" s="9" t="s">
        <v>23</v>
      </c>
      <c r="K14" s="9" t="s">
        <v>618</v>
      </c>
    </row>
    <row r="15" spans="1:11" x14ac:dyDescent="0.25">
      <c r="A15" s="9" t="s">
        <v>628</v>
      </c>
      <c r="B15" s="9" t="s">
        <v>391</v>
      </c>
      <c r="C15" s="9" t="s">
        <v>631</v>
      </c>
      <c r="D15" s="9"/>
      <c r="E15" s="9"/>
      <c r="F15" s="9" t="s">
        <v>629</v>
      </c>
      <c r="G15" s="10">
        <v>45</v>
      </c>
      <c r="H15" s="9" t="s">
        <v>630</v>
      </c>
      <c r="I15" s="10">
        <v>13</v>
      </c>
      <c r="J15" s="9" t="s">
        <v>23</v>
      </c>
      <c r="K15" s="9" t="s">
        <v>632</v>
      </c>
    </row>
  </sheetData>
  <autoFilter ref="A1:K15" xr:uid="{00000000-0009-0000-0000-000003000000}"/>
  <pageMargins left="0.75" right="0.75" top="1" bottom="1" header="0.511811023622047" footer="0.511811023622047"/>
  <pageSetup paperSize="9" orientation="portrait" horizontalDpi="300" verticalDpi="300"/>
  <headerFooter>
    <oddFooter>&amp;L_x000D_&amp;1#&amp;"Arial"&amp;8&amp;K737373 Classified by Alfa Laval as: Business</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Regneark</vt:lpstr>
      </vt:variant>
      <vt:variant>
        <vt:i4>5</vt:i4>
      </vt:variant>
    </vt:vector>
  </HeadingPairs>
  <TitlesOfParts>
    <vt:vector size="5" baseType="lpstr">
      <vt:lpstr>Oversigt</vt:lpstr>
      <vt:lpstr>Alle items</vt:lpstr>
      <vt:lpstr>Ark1</vt:lpstr>
      <vt:lpstr>Våben</vt:lpstr>
      <vt:lpstr>Rustning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Andreas Esbech</cp:lastModifiedBy>
  <cp:revision>0</cp:revision>
  <dcterms:created xsi:type="dcterms:W3CDTF">2026-08-12T06:29:09Z</dcterms:created>
  <dcterms:modified xsi:type="dcterms:W3CDTF">2026-08-12T10:38:35Z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4af057-89d0-49a5-911d-fe542bdab1f7_Enabled">
    <vt:lpwstr>true</vt:lpwstr>
  </property>
  <property fmtid="{D5CDD505-2E9C-101B-9397-08002B2CF9AE}" pid="3" name="MSIP_Label_c14af057-89d0-49a5-911d-fe542bdab1f7_SetDate">
    <vt:lpwstr>2026-08-12T10:38:35Z</vt:lpwstr>
  </property>
  <property fmtid="{D5CDD505-2E9C-101B-9397-08002B2CF9AE}" pid="4" name="MSIP_Label_c14af057-89d0-49a5-911d-fe542bdab1f7_Method">
    <vt:lpwstr>Standard</vt:lpwstr>
  </property>
  <property fmtid="{D5CDD505-2E9C-101B-9397-08002B2CF9AE}" pid="5" name="MSIP_Label_c14af057-89d0-49a5-911d-fe542bdab1f7_Name">
    <vt:lpwstr>(Pilot) Business</vt:lpwstr>
  </property>
  <property fmtid="{D5CDD505-2E9C-101B-9397-08002B2CF9AE}" pid="6" name="MSIP_Label_c14af057-89d0-49a5-911d-fe542bdab1f7_SiteId">
    <vt:lpwstr>ed5d5f47-52dd-48af-90ca-f7bd83624eb9</vt:lpwstr>
  </property>
  <property fmtid="{D5CDD505-2E9C-101B-9397-08002B2CF9AE}" pid="7" name="MSIP_Label_c14af057-89d0-49a5-911d-fe542bdab1f7_ActionId">
    <vt:lpwstr>d76d1ebf-473f-458c-8ad8-f87be7edd941</vt:lpwstr>
  </property>
  <property fmtid="{D5CDD505-2E9C-101B-9397-08002B2CF9AE}" pid="8" name="MSIP_Label_c14af057-89d0-49a5-911d-fe542bdab1f7_ContentBits">
    <vt:lpwstr>2</vt:lpwstr>
  </property>
  <property fmtid="{D5CDD505-2E9C-101B-9397-08002B2CF9AE}" pid="9" name="MSIP_Label_c14af057-89d0-49a5-911d-fe542bdab1f7_Tag">
    <vt:lpwstr>10, 3, 0, 1</vt:lpwstr>
  </property>
</Properties>
</file>